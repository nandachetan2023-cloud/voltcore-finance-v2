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bhis\Downloads\"/>
    </mc:Choice>
  </mc:AlternateContent>
  <xr:revisionPtr revIDLastSave="0" documentId="8_{F0A2C8FF-292A-4914-BFE5-0AAAB87991EC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employee format" sheetId="1" r:id="rId1"/>
    <sheet name="Salary comp." sheetId="2" r:id="rId2"/>
    <sheet name="Salary sheet" sheetId="3" r:id="rId3"/>
  </sheets>
  <externalReferences>
    <externalReference r:id="rId4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D26" i="3" l="1"/>
  <c r="D25" i="3"/>
  <c r="D24" i="3"/>
  <c r="D23" i="3"/>
  <c r="G22" i="3"/>
  <c r="D22" i="3"/>
  <c r="G21" i="3"/>
  <c r="D21" i="3"/>
  <c r="G20" i="3"/>
  <c r="D20" i="3"/>
  <c r="G19" i="3"/>
  <c r="G27" i="3" s="1"/>
  <c r="D19" i="3"/>
  <c r="D27" i="3" s="1"/>
  <c r="F28" i="3" s="1"/>
  <c r="G17" i="3"/>
  <c r="D17" i="3"/>
  <c r="G16" i="3"/>
  <c r="D16" i="3"/>
  <c r="G15" i="3"/>
  <c r="D15" i="3"/>
  <c r="D14" i="3"/>
  <c r="H13" i="3"/>
  <c r="D13" i="3"/>
  <c r="H12" i="3"/>
  <c r="D12" i="3"/>
  <c r="BP2" i="2"/>
  <c r="BE2" i="2"/>
  <c r="AH2" i="2"/>
  <c r="AF2" i="2"/>
  <c r="BD2" i="2" s="1"/>
  <c r="AE2" i="2"/>
  <c r="BC2" i="2" s="1"/>
  <c r="BF2" i="2" s="1"/>
  <c r="AD2" i="2"/>
  <c r="AX2" i="2" s="1"/>
  <c r="W2" i="2"/>
  <c r="U2" i="2"/>
  <c r="X2" i="2" s="1"/>
  <c r="BL2" i="2" l="1"/>
  <c r="AG2" i="2"/>
  <c r="AY2" i="2"/>
  <c r="AI2" i="2" l="1"/>
  <c r="AJ2" i="2"/>
  <c r="AK2" i="2"/>
  <c r="BN2" i="2" s="1"/>
  <c r="BK2" i="2"/>
  <c r="BJ2" i="2"/>
  <c r="BI2" i="2"/>
  <c r="BH2" i="2"/>
  <c r="BG2" i="2"/>
  <c r="BM2" i="2" l="1"/>
  <c r="AL2" i="2"/>
  <c r="BO2" i="2" s="1"/>
  <c r="AM2" i="2" l="1"/>
  <c r="AN2" i="2" l="1"/>
  <c r="AV2" i="2" l="1"/>
  <c r="AR2" i="2"/>
  <c r="AU2" i="2" s="1"/>
</calcChain>
</file>

<file path=xl/sharedStrings.xml><?xml version="1.0" encoding="utf-8"?>
<sst xmlns="http://schemas.openxmlformats.org/spreadsheetml/2006/main" count="165" uniqueCount="157">
  <si>
    <t>employee_id</t>
  </si>
  <si>
    <t>gender</t>
  </si>
  <si>
    <t>father_name</t>
  </si>
  <si>
    <t>date_of_birth</t>
  </si>
  <si>
    <t>blood_group</t>
  </si>
  <si>
    <t>nationality_id</t>
  </si>
  <si>
    <t>contact_no</t>
  </si>
  <si>
    <t>lwf</t>
  </si>
  <si>
    <t>bank_name</t>
  </si>
  <si>
    <t>bank_branch</t>
  </si>
  <si>
    <t>account_number</t>
  </si>
  <si>
    <t>bank_code</t>
  </si>
  <si>
    <t>address_state</t>
  </si>
  <si>
    <t>address_zip</t>
  </si>
  <si>
    <t>permanent_state</t>
  </si>
  <si>
    <t>permanent_zip</t>
  </si>
  <si>
    <t>work_email</t>
  </si>
  <si>
    <t>relation</t>
  </si>
  <si>
    <t>ethnicity_type</t>
  </si>
  <si>
    <t>company_id</t>
  </si>
  <si>
    <t>location_id</t>
  </si>
  <si>
    <t>date_of_joining</t>
  </si>
  <si>
    <t>department_id</t>
  </si>
  <si>
    <t>designation_id</t>
  </si>
  <si>
    <t>skill_category</t>
  </si>
  <si>
    <t>type_of_employment</t>
  </si>
  <si>
    <t>user_role_id</t>
  </si>
  <si>
    <t>username</t>
  </si>
  <si>
    <t>password</t>
  </si>
  <si>
    <t>reports_to</t>
  </si>
  <si>
    <t>office_shift_id</t>
  </si>
  <si>
    <t>reason_of_exit</t>
  </si>
  <si>
    <t>date_of_exit</t>
  </si>
  <si>
    <t>servicebook</t>
  </si>
  <si>
    <t>mark_of_identification</t>
  </si>
  <si>
    <t>education_level_id</t>
  </si>
  <si>
    <t>full_name</t>
  </si>
  <si>
    <t>personal_email</t>
  </si>
  <si>
    <t>uan</t>
  </si>
  <si>
    <t>esic</t>
  </si>
  <si>
    <t>uidia</t>
  </si>
  <si>
    <t>pan</t>
  </si>
  <si>
    <t>emergency_contact_name</t>
  </si>
  <si>
    <t>emergency_work_email</t>
  </si>
  <si>
    <t>emergency_work_phone</t>
  </si>
  <si>
    <t>status</t>
  </si>
  <si>
    <t>address_village</t>
  </si>
  <si>
    <t>address_post_office</t>
  </si>
  <si>
    <t>address_police_station</t>
  </si>
  <si>
    <t>address_district</t>
  </si>
  <si>
    <t>permanent_village</t>
  </si>
  <si>
    <t>permanent_post_office</t>
  </si>
  <si>
    <t>permanent_police_station</t>
  </si>
  <si>
    <t>permanent_district</t>
  </si>
  <si>
    <t>LEAVE</t>
  </si>
  <si>
    <t>804450</t>
  </si>
  <si>
    <t>GAP</t>
  </si>
  <si>
    <t>SUSANT KUMAR SWAIN</t>
  </si>
  <si>
    <t>SL NO.</t>
  </si>
  <si>
    <t>WORKMEN SL. NO.</t>
  </si>
  <si>
    <t>TOKEN NO.</t>
  </si>
  <si>
    <t>NAME OF EMPLOYEE</t>
  </si>
  <si>
    <t>FATHER'S NAME</t>
  </si>
  <si>
    <t>DOJ</t>
  </si>
  <si>
    <t>DOB</t>
  </si>
  <si>
    <t>BANK NAME</t>
  </si>
  <si>
    <t>ACCOUNT NO.</t>
  </si>
  <si>
    <t>IFSC CODE NO.</t>
  </si>
  <si>
    <t>UAN NO.</t>
  </si>
  <si>
    <t>ESIC IP NO</t>
  </si>
  <si>
    <t>DESIGNATION</t>
  </si>
  <si>
    <t>DEPARTMENT</t>
  </si>
  <si>
    <t>NATURE OF DESIGNATION</t>
  </si>
  <si>
    <t>MONTHLY GROSS SALARY</t>
  </si>
  <si>
    <t>ACTUAL ATTENDANCE</t>
  </si>
  <si>
    <t>EXTRA DAYS</t>
  </si>
  <si>
    <t>PH DAYS</t>
  </si>
  <si>
    <t>ACTUAL EARN WAGES</t>
  </si>
  <si>
    <t>ACTUAL OT HRS</t>
  </si>
  <si>
    <t>ACTUAL OT AMOUNT</t>
  </si>
  <si>
    <t>GROSS EARN WAGES</t>
  </si>
  <si>
    <t>BASIC WAGES/DAY</t>
  </si>
  <si>
    <t>MONTHLY WORKING DAYS</t>
  </si>
  <si>
    <t>OT. HRS</t>
  </si>
  <si>
    <t>ATTENDANCE</t>
  </si>
  <si>
    <t>PH</t>
  </si>
  <si>
    <t>WAGES/MONTH</t>
  </si>
  <si>
    <t>EARN WAGES</t>
  </si>
  <si>
    <t>PH AMOUNT</t>
  </si>
  <si>
    <t>TOTAL EARN WAGES</t>
  </si>
  <si>
    <t>OT HRS PAYMENT</t>
  </si>
  <si>
    <t>TOTAL NETT PAYBLE</t>
  </si>
  <si>
    <t>EPF</t>
  </si>
  <si>
    <t>ESIC</t>
  </si>
  <si>
    <t>PT</t>
  </si>
  <si>
    <t>TOTAL DEDUCTION</t>
  </si>
  <si>
    <t>NETT PAYBLE</t>
  </si>
  <si>
    <t xml:space="preserve">EMPLOYEE SIGNATURE/THUMB IMPRESSION </t>
  </si>
  <si>
    <t>TOTAL NON COMPLIANCE AMOUNT</t>
  </si>
  <si>
    <t>ADVANCE</t>
  </si>
  <si>
    <t>AREEARS</t>
  </si>
  <si>
    <t>NETT PAYBLE NON COMPLIANCE</t>
  </si>
  <si>
    <t>GRAND TOTAL NETT PAYBLE SALARY</t>
  </si>
  <si>
    <t>BONUS</t>
  </si>
  <si>
    <t>MONTHLY BASIC SALARY</t>
  </si>
  <si>
    <t>OT AMOUNT</t>
  </si>
  <si>
    <t>EARN SALARY</t>
  </si>
  <si>
    <t>MONTHLY House Rent Allow.</t>
  </si>
  <si>
    <t>Monthly Site Allow.</t>
  </si>
  <si>
    <t>Monthly Leave Travel Allow.</t>
  </si>
  <si>
    <t>Monthly Special Allow.</t>
  </si>
  <si>
    <t>MonthlyAttendence Allow.</t>
  </si>
  <si>
    <t>TOTAL SALARY</t>
  </si>
  <si>
    <t>TDS</t>
  </si>
  <si>
    <t>KULAMANI SWAIN</t>
  </si>
  <si>
    <t>BANDHAN BANK</t>
  </si>
  <si>
    <t>52200041331242</t>
  </si>
  <si>
    <t>BDBL0001747</t>
  </si>
  <si>
    <t>100734912526</t>
  </si>
  <si>
    <t>Mill Right Fitter</t>
  </si>
  <si>
    <t>High Skilled</t>
  </si>
  <si>
    <t>Upasana Associate</t>
  </si>
  <si>
    <t>Flat No. G+1/3, Vinayakpuram, In front of MME Ground, Jharsuguda, Odisha-768201</t>
  </si>
  <si>
    <t>Name &amp; Address of the Principal Employer : Hindalco Industries Ltd., Lapanga, Sambalpur-768212</t>
  </si>
  <si>
    <t>Employee pay summery for the month of DEC-25</t>
  </si>
  <si>
    <t>Date of Payment</t>
  </si>
  <si>
    <t>Employee Name</t>
  </si>
  <si>
    <t>Monthly Working Day</t>
  </si>
  <si>
    <t>Employee Code</t>
  </si>
  <si>
    <t>No. of Working Day Attended</t>
  </si>
  <si>
    <t>Designation</t>
  </si>
  <si>
    <t>Bank Details</t>
  </si>
  <si>
    <t>EPF Number</t>
  </si>
  <si>
    <t>Bank Name</t>
  </si>
  <si>
    <t>UAN Number</t>
  </si>
  <si>
    <t>Bank Account No.</t>
  </si>
  <si>
    <t>ESIC Number</t>
  </si>
  <si>
    <t>Bank IFSC Code</t>
  </si>
  <si>
    <t>EARNING SALARY</t>
  </si>
  <si>
    <t>AMOUNT</t>
  </si>
  <si>
    <t>DEDUCTIONS</t>
  </si>
  <si>
    <t>Basic Salary</t>
  </si>
  <si>
    <t>House Rent Allowances</t>
  </si>
  <si>
    <t>Site Allowances</t>
  </si>
  <si>
    <t>Travel Allowances</t>
  </si>
  <si>
    <t>Advance</t>
  </si>
  <si>
    <t>Special Allowances</t>
  </si>
  <si>
    <t>Other Deduction</t>
  </si>
  <si>
    <t>Attendance Allowances</t>
  </si>
  <si>
    <t>OT Amount</t>
  </si>
  <si>
    <t>PH Amount</t>
  </si>
  <si>
    <t>Gross Earnings</t>
  </si>
  <si>
    <t>Total Deductions</t>
  </si>
  <si>
    <t>Net Payable==&gt;</t>
  </si>
  <si>
    <t>This is a computer generated slip, hence Sign.not required</t>
  </si>
  <si>
    <t>Employee Signature</t>
  </si>
  <si>
    <t>Employer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</si>
</sst>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&quot;₹&quot;\ #,##0.00;[Red]&quot;₹&quot;\ #,##0.00"/>
  </numFmts>
  <fonts count="18" x14ac:knownFonts="1">
    <font>
      <sz val="10"/>
      <color rgb="FF000000"/>
      <name val="Arial"/>
      <charset val="1"/>
    </font>
    <font>
      <b/>
      <sz val="11"/>
      <color theme="1"/>
      <name val="Arial"/>
      <charset val="1"/>
    </font>
    <font>
      <sz val="10"/>
      <color rgb="FF000000"/>
      <name val="Arial"/>
      <charset val="1"/>
    </font>
    <font>
      <b/>
      <sz val="11"/>
      <color theme="1"/>
      <name val="Arial"/>
      <family val="2"/>
      <scheme val="minor"/>
    </font>
    <font>
      <sz val="8"/>
      <color theme="1"/>
      <name val="Arial"/>
      <family val="2"/>
      <scheme val="minor"/>
    </font>
    <font>
      <sz val="8"/>
      <name val="Arial"/>
      <family val="2"/>
      <scheme val="minor"/>
    </font>
    <font>
      <b/>
      <sz val="9"/>
      <color theme="1"/>
      <name val="Arial"/>
      <family val="2"/>
      <scheme val="minor"/>
    </font>
    <font>
      <b/>
      <sz val="9"/>
      <color rgb="FFFF0000"/>
      <name val="Arial"/>
      <family val="2"/>
      <scheme val="minor"/>
    </font>
    <font>
      <b/>
      <sz val="11"/>
      <name val="Times New Roman"/>
      <family val="1"/>
    </font>
    <font>
      <b/>
      <sz val="10"/>
      <name val="Times New Roman"/>
      <family val="1"/>
    </font>
    <font>
      <b/>
      <sz val="8"/>
      <name val="Arial"/>
      <family val="2"/>
      <scheme val="minor"/>
    </font>
    <font>
      <sz val="8"/>
      <color rgb="FFFF0000"/>
      <name val="Arial"/>
      <family val="2"/>
      <scheme val="minor"/>
    </font>
    <font>
      <sz val="9"/>
      <color theme="1"/>
      <name val="Arial"/>
      <family val="2"/>
      <scheme val="minor"/>
    </font>
    <font>
      <b/>
      <sz val="18"/>
      <color theme="1"/>
      <name val="Calibri Light"/>
      <family val="2"/>
    </font>
    <font>
      <b/>
      <sz val="9"/>
      <color theme="1"/>
      <name val="Calibri Light"/>
      <family val="2"/>
    </font>
    <font>
      <b/>
      <sz val="11"/>
      <color theme="1"/>
      <name val="Calibri Light"/>
      <family val="2"/>
    </font>
    <font>
      <sz val="11"/>
      <color theme="1"/>
      <name val="Calibri Light"/>
      <family val="2"/>
    </font>
    <font>
      <sz val="9"/>
      <color theme="1"/>
      <name val="Calibri Light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6">
    <xf numFmtId="0" fontId="0" fillId="0" borderId="0" xfId="0"/>
    <xf numFmtId="0" fontId="1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164" fontId="8" fillId="0" borderId="2" xfId="0" applyNumberFormat="1" applyFont="1" applyBorder="1" applyAlignment="1">
      <alignment horizontal="left" vertical="top" wrapText="1"/>
    </xf>
    <xf numFmtId="2" fontId="8" fillId="0" borderId="2" xfId="0" applyNumberFormat="1" applyFont="1" applyBorder="1" applyAlignment="1">
      <alignment horizontal="left" vertical="top" wrapText="1"/>
    </xf>
    <xf numFmtId="2" fontId="9" fillId="0" borderId="2" xfId="0" applyNumberFormat="1" applyFont="1" applyBorder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1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" fontId="5" fillId="0" borderId="1" xfId="1" applyNumberFormat="1" applyFont="1" applyFill="1" applyBorder="1" applyAlignment="1" applyProtection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2" fillId="0" borderId="0" xfId="0" applyFont="1" applyAlignment="1">
      <alignment horizontal="left" vertical="center"/>
    </xf>
    <xf numFmtId="2" fontId="12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2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4" fillId="0" borderId="5" xfId="0" applyFont="1" applyBorder="1" applyAlignment="1">
      <alignment horizontal="left" vertical="center"/>
    </xf>
    <xf numFmtId="0" fontId="14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15" fillId="0" borderId="4" xfId="0" applyFont="1" applyBorder="1" applyAlignment="1">
      <alignment vertical="center"/>
    </xf>
    <xf numFmtId="0" fontId="16" fillId="0" borderId="2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16" fillId="0" borderId="1" xfId="0" applyFont="1" applyBorder="1" applyAlignment="1">
      <alignment horizontal="left" vertical="center"/>
    </xf>
    <xf numFmtId="0" fontId="16" fillId="0" borderId="5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16" fillId="0" borderId="5" xfId="0" applyFont="1" applyBorder="1" applyAlignment="1">
      <alignment horizontal="left" vertical="center"/>
    </xf>
    <xf numFmtId="1" fontId="16" fillId="0" borderId="1" xfId="0" applyNumberFormat="1" applyFont="1" applyBorder="1" applyAlignment="1">
      <alignment horizontal="left" vertical="center"/>
    </xf>
    <xf numFmtId="1" fontId="16" fillId="0" borderId="2" xfId="0" applyNumberFormat="1" applyFont="1" applyBorder="1" applyAlignment="1">
      <alignment horizontal="left" vertical="center"/>
    </xf>
    <xf numFmtId="1" fontId="16" fillId="0" borderId="5" xfId="0" applyNumberFormat="1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165" fontId="16" fillId="0" borderId="1" xfId="0" applyNumberFormat="1" applyFont="1" applyBorder="1" applyAlignment="1">
      <alignment horizontal="left" vertical="center"/>
    </xf>
    <xf numFmtId="165" fontId="16" fillId="0" borderId="1" xfId="0" applyNumberFormat="1" applyFont="1" applyBorder="1" applyAlignment="1">
      <alignment horizontal="center" vertical="center"/>
    </xf>
    <xf numFmtId="165" fontId="15" fillId="0" borderId="1" xfId="0" applyNumberFormat="1" applyFont="1" applyBorder="1" applyAlignment="1">
      <alignment horizontal="left" vertical="center"/>
    </xf>
    <xf numFmtId="165" fontId="15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16" fillId="0" borderId="2" xfId="0" applyFont="1" applyBorder="1" applyAlignment="1">
      <alignment horizontal="left" vertical="top" wrapText="1"/>
    </xf>
    <xf numFmtId="0" fontId="16" fillId="0" borderId="3" xfId="0" applyFont="1" applyBorder="1" applyAlignment="1">
      <alignment horizontal="left" vertical="top" wrapText="1"/>
    </xf>
    <xf numFmtId="0" fontId="16" fillId="0" borderId="5" xfId="0" applyFont="1" applyBorder="1" applyAlignment="1">
      <alignment horizontal="left" vertical="top" wrapText="1"/>
    </xf>
    <xf numFmtId="0" fontId="15" fillId="0" borderId="1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6"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2" name="AutoShape 2" descr="Insert Function">
          <a:extLst>
            <a:ext uri="{FF2B5EF4-FFF2-40B4-BE49-F238E27FC236}">
              <a16:creationId xmlns:a16="http://schemas.microsoft.com/office/drawing/2014/main" id="{425F5766-3B25-4AD2-B4A8-5057E0BA6B9A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3" name="AutoShape 2" descr="Insert Function">
          <a:extLst>
            <a:ext uri="{FF2B5EF4-FFF2-40B4-BE49-F238E27FC236}">
              <a16:creationId xmlns:a16="http://schemas.microsoft.com/office/drawing/2014/main" id="{82DEA076-B96C-45FB-A455-51017D41A902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4" name="AutoShape 2" descr="Insert Function">
          <a:extLst>
            <a:ext uri="{FF2B5EF4-FFF2-40B4-BE49-F238E27FC236}">
              <a16:creationId xmlns:a16="http://schemas.microsoft.com/office/drawing/2014/main" id="{15D85576-54CE-47CE-AC33-DB5635DB479F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5" name="AutoShape 2" descr="Insert Function">
          <a:extLst>
            <a:ext uri="{FF2B5EF4-FFF2-40B4-BE49-F238E27FC236}">
              <a16:creationId xmlns:a16="http://schemas.microsoft.com/office/drawing/2014/main" id="{8799432B-8DA8-423C-909B-59920139A899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6" name="AutoShape 2" descr="Insert Function">
          <a:extLst>
            <a:ext uri="{FF2B5EF4-FFF2-40B4-BE49-F238E27FC236}">
              <a16:creationId xmlns:a16="http://schemas.microsoft.com/office/drawing/2014/main" id="{A7FC2F06-C0C6-4440-8E59-BF867F72447A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7" name="AutoShape 2" descr="Insert Function">
          <a:extLst>
            <a:ext uri="{FF2B5EF4-FFF2-40B4-BE49-F238E27FC236}">
              <a16:creationId xmlns:a16="http://schemas.microsoft.com/office/drawing/2014/main" id="{90F44C94-61FE-46B4-A196-2D60B8B5DD9B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8" name="AutoShape 2" descr="Insert Function">
          <a:extLst>
            <a:ext uri="{FF2B5EF4-FFF2-40B4-BE49-F238E27FC236}">
              <a16:creationId xmlns:a16="http://schemas.microsoft.com/office/drawing/2014/main" id="{49C82C34-3242-4EE0-AF96-E4B647484B16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9" name="AutoShape 2" descr="Insert Function">
          <a:extLst>
            <a:ext uri="{FF2B5EF4-FFF2-40B4-BE49-F238E27FC236}">
              <a16:creationId xmlns:a16="http://schemas.microsoft.com/office/drawing/2014/main" id="{6CC834E1-A577-447C-B33E-27757AB91D28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10" name="AutoShape 2" descr="Insert Function">
          <a:extLst>
            <a:ext uri="{FF2B5EF4-FFF2-40B4-BE49-F238E27FC236}">
              <a16:creationId xmlns:a16="http://schemas.microsoft.com/office/drawing/2014/main" id="{DE473D39-8D4E-434D-BE2D-59DD88380594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11" name="AutoShape 2" descr="Insert Function">
          <a:extLst>
            <a:ext uri="{FF2B5EF4-FFF2-40B4-BE49-F238E27FC236}">
              <a16:creationId xmlns:a16="http://schemas.microsoft.com/office/drawing/2014/main" id="{22E77C5E-6FD8-4337-AFA0-92C768C3DC1B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12" name="AutoShape 2" descr="Insert Function">
          <a:extLst>
            <a:ext uri="{FF2B5EF4-FFF2-40B4-BE49-F238E27FC236}">
              <a16:creationId xmlns:a16="http://schemas.microsoft.com/office/drawing/2014/main" id="{12F28E9D-383A-49D9-8FAB-4DAAEC9DE0DF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13" name="AutoShape 2" descr="Insert Function">
          <a:extLst>
            <a:ext uri="{FF2B5EF4-FFF2-40B4-BE49-F238E27FC236}">
              <a16:creationId xmlns:a16="http://schemas.microsoft.com/office/drawing/2014/main" id="{558D2F02-13C6-4F1C-A4C1-D83ECF0B17D1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14" name="AutoShape 2" descr="Insert Function">
          <a:extLst>
            <a:ext uri="{FF2B5EF4-FFF2-40B4-BE49-F238E27FC236}">
              <a16:creationId xmlns:a16="http://schemas.microsoft.com/office/drawing/2014/main" id="{6C51DCD4-4051-43D6-877A-069B9288A08D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15" name="AutoShape 2" descr="Insert Function">
          <a:extLst>
            <a:ext uri="{FF2B5EF4-FFF2-40B4-BE49-F238E27FC236}">
              <a16:creationId xmlns:a16="http://schemas.microsoft.com/office/drawing/2014/main" id="{5BA2A0E6-A22B-4534-A799-A6FF56820B82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16" name="AutoShape 2" descr="Insert Function">
          <a:extLst>
            <a:ext uri="{FF2B5EF4-FFF2-40B4-BE49-F238E27FC236}">
              <a16:creationId xmlns:a16="http://schemas.microsoft.com/office/drawing/2014/main" id="{E44108C9-BD60-45AF-BDA0-7A4B11DEAA0E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17" name="AutoShape 2" descr="Insert Function">
          <a:extLst>
            <a:ext uri="{FF2B5EF4-FFF2-40B4-BE49-F238E27FC236}">
              <a16:creationId xmlns:a16="http://schemas.microsoft.com/office/drawing/2014/main" id="{886C890A-7A89-4AF0-88E3-4E2D63B4626E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18" name="AutoShape 2" descr="Insert Function">
          <a:extLst>
            <a:ext uri="{FF2B5EF4-FFF2-40B4-BE49-F238E27FC236}">
              <a16:creationId xmlns:a16="http://schemas.microsoft.com/office/drawing/2014/main" id="{0426101E-D2EB-4271-9031-454A16B099BC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19" name="AutoShape 2" descr="Insert Function">
          <a:extLst>
            <a:ext uri="{FF2B5EF4-FFF2-40B4-BE49-F238E27FC236}">
              <a16:creationId xmlns:a16="http://schemas.microsoft.com/office/drawing/2014/main" id="{FC8398AC-5CC4-445F-B62F-F5EA6BCEEBC0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20" name="AutoShape 2" descr="Insert Function">
          <a:extLst>
            <a:ext uri="{FF2B5EF4-FFF2-40B4-BE49-F238E27FC236}">
              <a16:creationId xmlns:a16="http://schemas.microsoft.com/office/drawing/2014/main" id="{20B23B70-4BE2-4C8D-B13A-CD3FE0929728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21" name="AutoShape 2" descr="Insert Function">
          <a:extLst>
            <a:ext uri="{FF2B5EF4-FFF2-40B4-BE49-F238E27FC236}">
              <a16:creationId xmlns:a16="http://schemas.microsoft.com/office/drawing/2014/main" id="{C48D9432-CF46-44B0-A314-E65932C763EA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22" name="AutoShape 2" descr="Insert Function">
          <a:extLst>
            <a:ext uri="{FF2B5EF4-FFF2-40B4-BE49-F238E27FC236}">
              <a16:creationId xmlns:a16="http://schemas.microsoft.com/office/drawing/2014/main" id="{D4105346-1381-4E21-866D-2CC38A7DBD18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23" name="AutoShape 2" descr="Insert Function">
          <a:extLst>
            <a:ext uri="{FF2B5EF4-FFF2-40B4-BE49-F238E27FC236}">
              <a16:creationId xmlns:a16="http://schemas.microsoft.com/office/drawing/2014/main" id="{DFA044B7-380E-4905-8DFA-F6CDDB3C7EA9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24" name="AutoShape 2" descr="Insert Function">
          <a:extLst>
            <a:ext uri="{FF2B5EF4-FFF2-40B4-BE49-F238E27FC236}">
              <a16:creationId xmlns:a16="http://schemas.microsoft.com/office/drawing/2014/main" id="{B2854413-4A4B-4EAC-8288-1F75EB4C3F60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25" name="AutoShape 2" descr="Insert Function">
          <a:extLst>
            <a:ext uri="{FF2B5EF4-FFF2-40B4-BE49-F238E27FC236}">
              <a16:creationId xmlns:a16="http://schemas.microsoft.com/office/drawing/2014/main" id="{0CEFD086-28CF-46C0-8B2D-F6E433936172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26" name="AutoShape 2" descr="Insert Function">
          <a:extLst>
            <a:ext uri="{FF2B5EF4-FFF2-40B4-BE49-F238E27FC236}">
              <a16:creationId xmlns:a16="http://schemas.microsoft.com/office/drawing/2014/main" id="{B636D05F-CB5A-4D9E-BE54-186982F86AAA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27" name="AutoShape 2" descr="Insert Function">
          <a:extLst>
            <a:ext uri="{FF2B5EF4-FFF2-40B4-BE49-F238E27FC236}">
              <a16:creationId xmlns:a16="http://schemas.microsoft.com/office/drawing/2014/main" id="{9D1DEA0C-BF61-4B9D-879A-6BA0CF60B8E5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28" name="AutoShape 2" descr="Insert Function">
          <a:extLst>
            <a:ext uri="{FF2B5EF4-FFF2-40B4-BE49-F238E27FC236}">
              <a16:creationId xmlns:a16="http://schemas.microsoft.com/office/drawing/2014/main" id="{7FCE51A6-5F85-477B-9B05-049B02827776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29" name="AutoShape 2" descr="Insert Function">
          <a:extLst>
            <a:ext uri="{FF2B5EF4-FFF2-40B4-BE49-F238E27FC236}">
              <a16:creationId xmlns:a16="http://schemas.microsoft.com/office/drawing/2014/main" id="{016E5F91-87C3-4321-87A2-532D98532EA7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30" name="AutoShape 2" descr="Insert Function">
          <a:extLst>
            <a:ext uri="{FF2B5EF4-FFF2-40B4-BE49-F238E27FC236}">
              <a16:creationId xmlns:a16="http://schemas.microsoft.com/office/drawing/2014/main" id="{3F29B5E9-8C51-4AAD-BF5F-5F6025668CBC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31" name="AutoShape 2" descr="Insert Function">
          <a:extLst>
            <a:ext uri="{FF2B5EF4-FFF2-40B4-BE49-F238E27FC236}">
              <a16:creationId xmlns:a16="http://schemas.microsoft.com/office/drawing/2014/main" id="{133DB956-9E32-4C1D-96BD-FC8F5CD31830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32" name="AutoShape 2" descr="Insert Function">
          <a:extLst>
            <a:ext uri="{FF2B5EF4-FFF2-40B4-BE49-F238E27FC236}">
              <a16:creationId xmlns:a16="http://schemas.microsoft.com/office/drawing/2014/main" id="{BA0414C4-93C6-4802-ABB7-D09F1BF3EF49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33" name="AutoShape 2" descr="Insert Function">
          <a:extLst>
            <a:ext uri="{FF2B5EF4-FFF2-40B4-BE49-F238E27FC236}">
              <a16:creationId xmlns:a16="http://schemas.microsoft.com/office/drawing/2014/main" id="{11110681-FD4F-4393-A983-B2092EEF03C6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34" name="AutoShape 2" descr="Insert Function">
          <a:extLst>
            <a:ext uri="{FF2B5EF4-FFF2-40B4-BE49-F238E27FC236}">
              <a16:creationId xmlns:a16="http://schemas.microsoft.com/office/drawing/2014/main" id="{FBC54E1F-B44B-45A6-B0D1-FBCC77E05D2F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35" name="AutoShape 2" descr="Insert Function">
          <a:extLst>
            <a:ext uri="{FF2B5EF4-FFF2-40B4-BE49-F238E27FC236}">
              <a16:creationId xmlns:a16="http://schemas.microsoft.com/office/drawing/2014/main" id="{E0162287-EFE6-4333-BED4-784F2761DBD0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36" name="AutoShape 2" descr="Insert Function">
          <a:extLst>
            <a:ext uri="{FF2B5EF4-FFF2-40B4-BE49-F238E27FC236}">
              <a16:creationId xmlns:a16="http://schemas.microsoft.com/office/drawing/2014/main" id="{31E0B77D-32DA-4C05-8419-199B515696B2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37" name="AutoShape 2" descr="Insert Function">
          <a:extLst>
            <a:ext uri="{FF2B5EF4-FFF2-40B4-BE49-F238E27FC236}">
              <a16:creationId xmlns:a16="http://schemas.microsoft.com/office/drawing/2014/main" id="{3587AB6F-95F4-4E80-996D-BAAC1729DAC9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38" name="AutoShape 2" descr="Insert Function">
          <a:extLst>
            <a:ext uri="{FF2B5EF4-FFF2-40B4-BE49-F238E27FC236}">
              <a16:creationId xmlns:a16="http://schemas.microsoft.com/office/drawing/2014/main" id="{78AFAA1A-AF70-47AD-9EFE-B40FB7769CA7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39" name="AutoShape 2" descr="Insert Function">
          <a:extLst>
            <a:ext uri="{FF2B5EF4-FFF2-40B4-BE49-F238E27FC236}">
              <a16:creationId xmlns:a16="http://schemas.microsoft.com/office/drawing/2014/main" id="{4B05E325-60FC-4DFF-BD10-85D6F90387EE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40" name="AutoShape 2" descr="Insert Function">
          <a:extLst>
            <a:ext uri="{FF2B5EF4-FFF2-40B4-BE49-F238E27FC236}">
              <a16:creationId xmlns:a16="http://schemas.microsoft.com/office/drawing/2014/main" id="{208FF35F-CE85-4231-9CAA-E3C76D493C0C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41" name="AutoShape 2" descr="Insert Function">
          <a:extLst>
            <a:ext uri="{FF2B5EF4-FFF2-40B4-BE49-F238E27FC236}">
              <a16:creationId xmlns:a16="http://schemas.microsoft.com/office/drawing/2014/main" id="{C5DDC12E-DF61-4667-80CA-5F5589163332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42" name="AutoShape 2" descr="Insert Function">
          <a:extLst>
            <a:ext uri="{FF2B5EF4-FFF2-40B4-BE49-F238E27FC236}">
              <a16:creationId xmlns:a16="http://schemas.microsoft.com/office/drawing/2014/main" id="{49822219-ABFF-440F-8EB2-33A7BEF1A891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43" name="AutoShape 2" descr="Insert Function">
          <a:extLst>
            <a:ext uri="{FF2B5EF4-FFF2-40B4-BE49-F238E27FC236}">
              <a16:creationId xmlns:a16="http://schemas.microsoft.com/office/drawing/2014/main" id="{F41886D2-99A9-4B4C-A504-D00D23573642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44" name="AutoShape 2" descr="Insert Function">
          <a:extLst>
            <a:ext uri="{FF2B5EF4-FFF2-40B4-BE49-F238E27FC236}">
              <a16:creationId xmlns:a16="http://schemas.microsoft.com/office/drawing/2014/main" id="{B35263F5-E7EF-431D-BF75-299BAB4A3037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45" name="AutoShape 2" descr="Insert Function">
          <a:extLst>
            <a:ext uri="{FF2B5EF4-FFF2-40B4-BE49-F238E27FC236}">
              <a16:creationId xmlns:a16="http://schemas.microsoft.com/office/drawing/2014/main" id="{E81EDA61-4383-4A47-A204-68EB84D07296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46" name="AutoShape 2" descr="Insert Function">
          <a:extLst>
            <a:ext uri="{FF2B5EF4-FFF2-40B4-BE49-F238E27FC236}">
              <a16:creationId xmlns:a16="http://schemas.microsoft.com/office/drawing/2014/main" id="{1E3D5B6E-C5AA-4139-997E-33578E6558FC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47" name="AutoShape 2" descr="Insert Function">
          <a:extLst>
            <a:ext uri="{FF2B5EF4-FFF2-40B4-BE49-F238E27FC236}">
              <a16:creationId xmlns:a16="http://schemas.microsoft.com/office/drawing/2014/main" id="{F1A8421F-C084-44A8-8CB4-E1B5074635B1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48" name="AutoShape 2" descr="Insert Function">
          <a:extLst>
            <a:ext uri="{FF2B5EF4-FFF2-40B4-BE49-F238E27FC236}">
              <a16:creationId xmlns:a16="http://schemas.microsoft.com/office/drawing/2014/main" id="{7837FBBE-C883-4B1F-8199-C71388542351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49" name="AutoShape 2" descr="Insert Function">
          <a:extLst>
            <a:ext uri="{FF2B5EF4-FFF2-40B4-BE49-F238E27FC236}">
              <a16:creationId xmlns:a16="http://schemas.microsoft.com/office/drawing/2014/main" id="{67F60773-C4B3-4E96-B6B5-8437429C75CC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50" name="AutoShape 2" descr="Insert Function">
          <a:extLst>
            <a:ext uri="{FF2B5EF4-FFF2-40B4-BE49-F238E27FC236}">
              <a16:creationId xmlns:a16="http://schemas.microsoft.com/office/drawing/2014/main" id="{D44055E9-3E96-46EC-9BB0-F55644688C43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51" name="AutoShape 2" descr="Insert Function">
          <a:extLst>
            <a:ext uri="{FF2B5EF4-FFF2-40B4-BE49-F238E27FC236}">
              <a16:creationId xmlns:a16="http://schemas.microsoft.com/office/drawing/2014/main" id="{CC44C4EB-E801-4668-9215-67D48CA37055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52" name="AutoShape 2" descr="Insert Function">
          <a:extLst>
            <a:ext uri="{FF2B5EF4-FFF2-40B4-BE49-F238E27FC236}">
              <a16:creationId xmlns:a16="http://schemas.microsoft.com/office/drawing/2014/main" id="{F4318E10-25B8-4478-94BA-220B10E6D880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53" name="AutoShape 2" descr="Insert Function">
          <a:extLst>
            <a:ext uri="{FF2B5EF4-FFF2-40B4-BE49-F238E27FC236}">
              <a16:creationId xmlns:a16="http://schemas.microsoft.com/office/drawing/2014/main" id="{B0E35FB5-5BF4-48BB-93AD-CAD83DFBAD9E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54" name="AutoShape 2" descr="Insert Function">
          <a:extLst>
            <a:ext uri="{FF2B5EF4-FFF2-40B4-BE49-F238E27FC236}">
              <a16:creationId xmlns:a16="http://schemas.microsoft.com/office/drawing/2014/main" id="{58A8AFBA-FA42-4B84-A7FB-7BDCDE28FF0C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55" name="AutoShape 2" descr="Insert Function">
          <a:extLst>
            <a:ext uri="{FF2B5EF4-FFF2-40B4-BE49-F238E27FC236}">
              <a16:creationId xmlns:a16="http://schemas.microsoft.com/office/drawing/2014/main" id="{558B5A11-C8F3-46E0-8F65-995CB48CEAA0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56" name="AutoShape 2" descr="Insert Function">
          <a:extLst>
            <a:ext uri="{FF2B5EF4-FFF2-40B4-BE49-F238E27FC236}">
              <a16:creationId xmlns:a16="http://schemas.microsoft.com/office/drawing/2014/main" id="{25DBAF1D-5D0C-410B-8B42-6804848E6747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57" name="AutoShape 2" descr="Insert Function">
          <a:extLst>
            <a:ext uri="{FF2B5EF4-FFF2-40B4-BE49-F238E27FC236}">
              <a16:creationId xmlns:a16="http://schemas.microsoft.com/office/drawing/2014/main" id="{FC0C4B9C-85DB-4257-9099-9FC26F00C002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58" name="AutoShape 2" descr="Insert Function">
          <a:extLst>
            <a:ext uri="{FF2B5EF4-FFF2-40B4-BE49-F238E27FC236}">
              <a16:creationId xmlns:a16="http://schemas.microsoft.com/office/drawing/2014/main" id="{3E022697-86E8-48EB-B83F-EC0421E49A22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59" name="AutoShape 2" descr="Insert Function">
          <a:extLst>
            <a:ext uri="{FF2B5EF4-FFF2-40B4-BE49-F238E27FC236}">
              <a16:creationId xmlns:a16="http://schemas.microsoft.com/office/drawing/2014/main" id="{43DE29CE-95EE-48F5-BAA5-0099979D7436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60" name="AutoShape 2" descr="Insert Function">
          <a:extLst>
            <a:ext uri="{FF2B5EF4-FFF2-40B4-BE49-F238E27FC236}">
              <a16:creationId xmlns:a16="http://schemas.microsoft.com/office/drawing/2014/main" id="{97383240-DE6B-4711-BCF2-65C36DFF1F1C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61" name="AutoShape 2" descr="Insert Function">
          <a:extLst>
            <a:ext uri="{FF2B5EF4-FFF2-40B4-BE49-F238E27FC236}">
              <a16:creationId xmlns:a16="http://schemas.microsoft.com/office/drawing/2014/main" id="{332E15A7-4E53-4561-A9EA-359B9B06A271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62" name="AutoShape 2" descr="Insert Function">
          <a:extLst>
            <a:ext uri="{FF2B5EF4-FFF2-40B4-BE49-F238E27FC236}">
              <a16:creationId xmlns:a16="http://schemas.microsoft.com/office/drawing/2014/main" id="{6B689062-16E6-4CB6-907B-9DC616D02BBA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63" name="AutoShape 2" descr="Insert Function">
          <a:extLst>
            <a:ext uri="{FF2B5EF4-FFF2-40B4-BE49-F238E27FC236}">
              <a16:creationId xmlns:a16="http://schemas.microsoft.com/office/drawing/2014/main" id="{196A4711-4BA7-4C0A-A146-0EDB79B765E8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64" name="AutoShape 2" descr="Insert Function">
          <a:extLst>
            <a:ext uri="{FF2B5EF4-FFF2-40B4-BE49-F238E27FC236}">
              <a16:creationId xmlns:a16="http://schemas.microsoft.com/office/drawing/2014/main" id="{5F128B32-CB09-49F6-B477-444ED1B1099D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65" name="AutoShape 2" descr="Insert Function">
          <a:extLst>
            <a:ext uri="{FF2B5EF4-FFF2-40B4-BE49-F238E27FC236}">
              <a16:creationId xmlns:a16="http://schemas.microsoft.com/office/drawing/2014/main" id="{7C5FDC1D-594C-4763-874B-B41EA541A826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66" name="AutoShape 2" descr="Insert Function">
          <a:extLst>
            <a:ext uri="{FF2B5EF4-FFF2-40B4-BE49-F238E27FC236}">
              <a16:creationId xmlns:a16="http://schemas.microsoft.com/office/drawing/2014/main" id="{D748D53E-19EA-4A8B-AC40-4C7F03D078F2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67" name="AutoShape 2" descr="Insert Function">
          <a:extLst>
            <a:ext uri="{FF2B5EF4-FFF2-40B4-BE49-F238E27FC236}">
              <a16:creationId xmlns:a16="http://schemas.microsoft.com/office/drawing/2014/main" id="{E8EEB06D-F866-4D53-9FBF-7857DBDC0556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68" name="AutoShape 2" descr="Insert Function">
          <a:extLst>
            <a:ext uri="{FF2B5EF4-FFF2-40B4-BE49-F238E27FC236}">
              <a16:creationId xmlns:a16="http://schemas.microsoft.com/office/drawing/2014/main" id="{2F478744-ECA0-4424-85B3-E57556F011D3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69" name="AutoShape 2" descr="Insert Function">
          <a:extLst>
            <a:ext uri="{FF2B5EF4-FFF2-40B4-BE49-F238E27FC236}">
              <a16:creationId xmlns:a16="http://schemas.microsoft.com/office/drawing/2014/main" id="{FA8A63AF-6EEF-4060-981C-3E6B5A9C6B00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70" name="AutoShape 2" descr="Insert Function">
          <a:extLst>
            <a:ext uri="{FF2B5EF4-FFF2-40B4-BE49-F238E27FC236}">
              <a16:creationId xmlns:a16="http://schemas.microsoft.com/office/drawing/2014/main" id="{634C9838-4D84-4695-8010-B5E3A58781FB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71" name="AutoShape 2" descr="Insert Function">
          <a:extLst>
            <a:ext uri="{FF2B5EF4-FFF2-40B4-BE49-F238E27FC236}">
              <a16:creationId xmlns:a16="http://schemas.microsoft.com/office/drawing/2014/main" id="{6EE94EB3-F3C5-496C-A700-E3DA51E5FC82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72" name="AutoShape 2" descr="Insert Function">
          <a:extLst>
            <a:ext uri="{FF2B5EF4-FFF2-40B4-BE49-F238E27FC236}">
              <a16:creationId xmlns:a16="http://schemas.microsoft.com/office/drawing/2014/main" id="{27F25BBA-3B01-4976-93D1-B2083C14BB41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73" name="AutoShape 2" descr="Insert Function">
          <a:extLst>
            <a:ext uri="{FF2B5EF4-FFF2-40B4-BE49-F238E27FC236}">
              <a16:creationId xmlns:a16="http://schemas.microsoft.com/office/drawing/2014/main" id="{13734258-6258-46F3-B63A-E4AF3A47CF1F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74" name="AutoShape 2" descr="Insert Function">
          <a:extLst>
            <a:ext uri="{FF2B5EF4-FFF2-40B4-BE49-F238E27FC236}">
              <a16:creationId xmlns:a16="http://schemas.microsoft.com/office/drawing/2014/main" id="{509ABECE-91DA-4C02-BBEA-B15ED8EEA317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75" name="AutoShape 2" descr="Insert Function">
          <a:extLst>
            <a:ext uri="{FF2B5EF4-FFF2-40B4-BE49-F238E27FC236}">
              <a16:creationId xmlns:a16="http://schemas.microsoft.com/office/drawing/2014/main" id="{3FEC5B62-E56D-4E62-A230-D915C890FFCA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76" name="AutoShape 2" descr="Insert Function">
          <a:extLst>
            <a:ext uri="{FF2B5EF4-FFF2-40B4-BE49-F238E27FC236}">
              <a16:creationId xmlns:a16="http://schemas.microsoft.com/office/drawing/2014/main" id="{D9708B7B-7ADC-4BC0-B15C-E0C640F9F3BE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77" name="AutoShape 2" descr="Insert Function">
          <a:extLst>
            <a:ext uri="{FF2B5EF4-FFF2-40B4-BE49-F238E27FC236}">
              <a16:creationId xmlns:a16="http://schemas.microsoft.com/office/drawing/2014/main" id="{BAAFF025-4FD2-4FB2-A37E-258F8BE59886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78" name="AutoShape 2" descr="Insert Function">
          <a:extLst>
            <a:ext uri="{FF2B5EF4-FFF2-40B4-BE49-F238E27FC236}">
              <a16:creationId xmlns:a16="http://schemas.microsoft.com/office/drawing/2014/main" id="{CB56B0A2-EE19-45BC-89C7-0A28691CE657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79" name="AutoShape 2" descr="Insert Function">
          <a:extLst>
            <a:ext uri="{FF2B5EF4-FFF2-40B4-BE49-F238E27FC236}">
              <a16:creationId xmlns:a16="http://schemas.microsoft.com/office/drawing/2014/main" id="{53841C36-A9E1-4BC5-8B33-3CACFC43EB28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80" name="AutoShape 2" descr="Insert Function">
          <a:extLst>
            <a:ext uri="{FF2B5EF4-FFF2-40B4-BE49-F238E27FC236}">
              <a16:creationId xmlns:a16="http://schemas.microsoft.com/office/drawing/2014/main" id="{24D1B06E-F0E2-4B68-908D-A6DA1C006657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81" name="AutoShape 2" descr="Insert Function">
          <a:extLst>
            <a:ext uri="{FF2B5EF4-FFF2-40B4-BE49-F238E27FC236}">
              <a16:creationId xmlns:a16="http://schemas.microsoft.com/office/drawing/2014/main" id="{BA727AA8-7B57-44A8-854F-B03B073FADBC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82" name="AutoShape 2" descr="Insert Function">
          <a:extLst>
            <a:ext uri="{FF2B5EF4-FFF2-40B4-BE49-F238E27FC236}">
              <a16:creationId xmlns:a16="http://schemas.microsoft.com/office/drawing/2014/main" id="{B4F7C171-EBCD-4D9C-A065-F2C2D61365AB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83" name="AutoShape 2" descr="Insert Function">
          <a:extLst>
            <a:ext uri="{FF2B5EF4-FFF2-40B4-BE49-F238E27FC236}">
              <a16:creationId xmlns:a16="http://schemas.microsoft.com/office/drawing/2014/main" id="{76111EBB-1430-4200-B045-E51FAC40F13E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84" name="AutoShape 2" descr="Insert Function">
          <a:extLst>
            <a:ext uri="{FF2B5EF4-FFF2-40B4-BE49-F238E27FC236}">
              <a16:creationId xmlns:a16="http://schemas.microsoft.com/office/drawing/2014/main" id="{B8EA54B2-C244-4D9E-8D59-47CB0AD2BF5A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85" name="AutoShape 2" descr="Insert Function">
          <a:extLst>
            <a:ext uri="{FF2B5EF4-FFF2-40B4-BE49-F238E27FC236}">
              <a16:creationId xmlns:a16="http://schemas.microsoft.com/office/drawing/2014/main" id="{7435D2CF-5BA4-420B-8E22-38281DE63AC7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86" name="AutoShape 2" descr="Insert Function">
          <a:extLst>
            <a:ext uri="{FF2B5EF4-FFF2-40B4-BE49-F238E27FC236}">
              <a16:creationId xmlns:a16="http://schemas.microsoft.com/office/drawing/2014/main" id="{85BA9266-0DB2-4FCE-8F04-91EFF2E5B705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87" name="AutoShape 2" descr="Insert Function">
          <a:extLst>
            <a:ext uri="{FF2B5EF4-FFF2-40B4-BE49-F238E27FC236}">
              <a16:creationId xmlns:a16="http://schemas.microsoft.com/office/drawing/2014/main" id="{264B93C6-495F-4A86-8742-0741D5A6AF0F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88" name="AutoShape 2" descr="Insert Function">
          <a:extLst>
            <a:ext uri="{FF2B5EF4-FFF2-40B4-BE49-F238E27FC236}">
              <a16:creationId xmlns:a16="http://schemas.microsoft.com/office/drawing/2014/main" id="{664F6844-C9D5-4493-B2EF-9ECE126DEC65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89" name="AutoShape 2" descr="Insert Function">
          <a:extLst>
            <a:ext uri="{FF2B5EF4-FFF2-40B4-BE49-F238E27FC236}">
              <a16:creationId xmlns:a16="http://schemas.microsoft.com/office/drawing/2014/main" id="{89AF4F14-9210-4FC5-B475-72BDD5A587E1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90" name="AutoShape 2" descr="Insert Function">
          <a:extLst>
            <a:ext uri="{FF2B5EF4-FFF2-40B4-BE49-F238E27FC236}">
              <a16:creationId xmlns:a16="http://schemas.microsoft.com/office/drawing/2014/main" id="{A27B72DA-A2B7-4D97-BFC0-FCA3B813D609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91" name="AutoShape 2" descr="Insert Function">
          <a:extLst>
            <a:ext uri="{FF2B5EF4-FFF2-40B4-BE49-F238E27FC236}">
              <a16:creationId xmlns:a16="http://schemas.microsoft.com/office/drawing/2014/main" id="{D768306F-C842-4581-B791-82839CB5DA10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92" name="AutoShape 2" descr="Insert Function">
          <a:extLst>
            <a:ext uri="{FF2B5EF4-FFF2-40B4-BE49-F238E27FC236}">
              <a16:creationId xmlns:a16="http://schemas.microsoft.com/office/drawing/2014/main" id="{7559B2BF-3C61-4FCA-9A90-80F0058F9289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93" name="AutoShape 2" descr="Insert Function">
          <a:extLst>
            <a:ext uri="{FF2B5EF4-FFF2-40B4-BE49-F238E27FC236}">
              <a16:creationId xmlns:a16="http://schemas.microsoft.com/office/drawing/2014/main" id="{3F03FD48-6C59-420F-AF73-CDCB80ABA259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94" name="AutoShape 2" descr="Insert Function">
          <a:extLst>
            <a:ext uri="{FF2B5EF4-FFF2-40B4-BE49-F238E27FC236}">
              <a16:creationId xmlns:a16="http://schemas.microsoft.com/office/drawing/2014/main" id="{0C024E09-EDCD-4EB0-BC41-68BCE6018759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95" name="AutoShape 2" descr="Insert Function">
          <a:extLst>
            <a:ext uri="{FF2B5EF4-FFF2-40B4-BE49-F238E27FC236}">
              <a16:creationId xmlns:a16="http://schemas.microsoft.com/office/drawing/2014/main" id="{B95F87CF-3111-4E2C-977C-38E2F2D92E17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96" name="AutoShape 2" descr="Insert Function">
          <a:extLst>
            <a:ext uri="{FF2B5EF4-FFF2-40B4-BE49-F238E27FC236}">
              <a16:creationId xmlns:a16="http://schemas.microsoft.com/office/drawing/2014/main" id="{FFF772B8-6F0A-4099-91B9-FA99248998B8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97" name="AutoShape 2" descr="Insert Function">
          <a:extLst>
            <a:ext uri="{FF2B5EF4-FFF2-40B4-BE49-F238E27FC236}">
              <a16:creationId xmlns:a16="http://schemas.microsoft.com/office/drawing/2014/main" id="{E536B3A4-6F64-43B3-BABC-62724D3AEEF2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98" name="AutoShape 2" descr="Insert Function">
          <a:extLst>
            <a:ext uri="{FF2B5EF4-FFF2-40B4-BE49-F238E27FC236}">
              <a16:creationId xmlns:a16="http://schemas.microsoft.com/office/drawing/2014/main" id="{266492C0-DA4B-490D-BC01-7DA2832B9D88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99" name="AutoShape 2" descr="Insert Function">
          <a:extLst>
            <a:ext uri="{FF2B5EF4-FFF2-40B4-BE49-F238E27FC236}">
              <a16:creationId xmlns:a16="http://schemas.microsoft.com/office/drawing/2014/main" id="{89CD7733-38D3-41BA-B8E5-76C52D528B2B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100" name="AutoShape 2" descr="Insert Function">
          <a:extLst>
            <a:ext uri="{FF2B5EF4-FFF2-40B4-BE49-F238E27FC236}">
              <a16:creationId xmlns:a16="http://schemas.microsoft.com/office/drawing/2014/main" id="{87A2B670-331D-4721-B1C6-6BCE421B5F3E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101" name="AutoShape 2" descr="Insert Function">
          <a:extLst>
            <a:ext uri="{FF2B5EF4-FFF2-40B4-BE49-F238E27FC236}">
              <a16:creationId xmlns:a16="http://schemas.microsoft.com/office/drawing/2014/main" id="{20A506C6-E9CE-4F39-9BB6-7042A86BD15F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102" name="AutoShape 2" descr="Insert Function">
          <a:extLst>
            <a:ext uri="{FF2B5EF4-FFF2-40B4-BE49-F238E27FC236}">
              <a16:creationId xmlns:a16="http://schemas.microsoft.com/office/drawing/2014/main" id="{3EBF1A82-E8C3-408D-90AA-2830BFD4704D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103" name="AutoShape 2" descr="Insert Function">
          <a:extLst>
            <a:ext uri="{FF2B5EF4-FFF2-40B4-BE49-F238E27FC236}">
              <a16:creationId xmlns:a16="http://schemas.microsoft.com/office/drawing/2014/main" id="{68A38E60-11F2-4CFE-8005-1B98B2F1F94A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104" name="AutoShape 2" descr="Insert Function">
          <a:extLst>
            <a:ext uri="{FF2B5EF4-FFF2-40B4-BE49-F238E27FC236}">
              <a16:creationId xmlns:a16="http://schemas.microsoft.com/office/drawing/2014/main" id="{40FAE84B-1BA9-4D27-A671-7841DC976B2E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105" name="AutoShape 2" descr="Insert Function">
          <a:extLst>
            <a:ext uri="{FF2B5EF4-FFF2-40B4-BE49-F238E27FC236}">
              <a16:creationId xmlns:a16="http://schemas.microsoft.com/office/drawing/2014/main" id="{9C8883C5-8625-49D0-ADD3-A59910FBFE1B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106" name="AutoShape 2" descr="Insert Function">
          <a:extLst>
            <a:ext uri="{FF2B5EF4-FFF2-40B4-BE49-F238E27FC236}">
              <a16:creationId xmlns:a16="http://schemas.microsoft.com/office/drawing/2014/main" id="{6BD74924-BA3B-410F-A187-8655CC09B98A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107" name="AutoShape 2" descr="Insert Function">
          <a:extLst>
            <a:ext uri="{FF2B5EF4-FFF2-40B4-BE49-F238E27FC236}">
              <a16:creationId xmlns:a16="http://schemas.microsoft.com/office/drawing/2014/main" id="{52A57E6D-A5A2-45F4-90A5-4043D30F8851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108" name="AutoShape 2" descr="Insert Function">
          <a:extLst>
            <a:ext uri="{FF2B5EF4-FFF2-40B4-BE49-F238E27FC236}">
              <a16:creationId xmlns:a16="http://schemas.microsoft.com/office/drawing/2014/main" id="{17C42C14-11C8-4061-ACB7-46006C7E9A61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109" name="AutoShape 2" descr="Insert Function">
          <a:extLst>
            <a:ext uri="{FF2B5EF4-FFF2-40B4-BE49-F238E27FC236}">
              <a16:creationId xmlns:a16="http://schemas.microsoft.com/office/drawing/2014/main" id="{C24B99E0-D436-4A4D-880E-03BBDFEDA751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110" name="AutoShape 2" descr="Insert Function">
          <a:extLst>
            <a:ext uri="{FF2B5EF4-FFF2-40B4-BE49-F238E27FC236}">
              <a16:creationId xmlns:a16="http://schemas.microsoft.com/office/drawing/2014/main" id="{1855C466-9836-4224-9D20-C8F870691D63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111" name="AutoShape 2" descr="Insert Function">
          <a:extLst>
            <a:ext uri="{FF2B5EF4-FFF2-40B4-BE49-F238E27FC236}">
              <a16:creationId xmlns:a16="http://schemas.microsoft.com/office/drawing/2014/main" id="{9A23CD9B-3F86-4342-A827-649C0AF9F18D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112" name="AutoShape 2" descr="Insert Function">
          <a:extLst>
            <a:ext uri="{FF2B5EF4-FFF2-40B4-BE49-F238E27FC236}">
              <a16:creationId xmlns:a16="http://schemas.microsoft.com/office/drawing/2014/main" id="{4B03CC02-5C93-4A56-8F1A-916916CA125C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113" name="AutoShape 2" descr="Insert Function">
          <a:extLst>
            <a:ext uri="{FF2B5EF4-FFF2-40B4-BE49-F238E27FC236}">
              <a16:creationId xmlns:a16="http://schemas.microsoft.com/office/drawing/2014/main" id="{2535BBF3-E559-4025-9D9A-94551E83B255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114" name="AutoShape 2" descr="Insert Function">
          <a:extLst>
            <a:ext uri="{FF2B5EF4-FFF2-40B4-BE49-F238E27FC236}">
              <a16:creationId xmlns:a16="http://schemas.microsoft.com/office/drawing/2014/main" id="{00DD4111-257D-4D8B-BC86-9A6A97585CCA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115" name="AutoShape 2" descr="Insert Function">
          <a:extLst>
            <a:ext uri="{FF2B5EF4-FFF2-40B4-BE49-F238E27FC236}">
              <a16:creationId xmlns:a16="http://schemas.microsoft.com/office/drawing/2014/main" id="{D7027F65-044D-402A-B2E3-D6A1C9AEFA93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116" name="AutoShape 2" descr="Insert Function">
          <a:extLst>
            <a:ext uri="{FF2B5EF4-FFF2-40B4-BE49-F238E27FC236}">
              <a16:creationId xmlns:a16="http://schemas.microsoft.com/office/drawing/2014/main" id="{B842DC0E-9CB0-445D-9DBA-59A5A0A84FE6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117" name="AutoShape 2" descr="Insert Function">
          <a:extLst>
            <a:ext uri="{FF2B5EF4-FFF2-40B4-BE49-F238E27FC236}">
              <a16:creationId xmlns:a16="http://schemas.microsoft.com/office/drawing/2014/main" id="{57755237-A615-4B9A-8B05-20475A165B92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118" name="AutoShape 2" descr="Insert Function">
          <a:extLst>
            <a:ext uri="{FF2B5EF4-FFF2-40B4-BE49-F238E27FC236}">
              <a16:creationId xmlns:a16="http://schemas.microsoft.com/office/drawing/2014/main" id="{EABEF344-331D-402E-AE6A-F27519D6174B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119" name="AutoShape 2" descr="Insert Function">
          <a:extLst>
            <a:ext uri="{FF2B5EF4-FFF2-40B4-BE49-F238E27FC236}">
              <a16:creationId xmlns:a16="http://schemas.microsoft.com/office/drawing/2014/main" id="{42BB54AB-189B-4903-873E-DB69ADDFB486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120" name="AutoShape 2" descr="Insert Function">
          <a:extLst>
            <a:ext uri="{FF2B5EF4-FFF2-40B4-BE49-F238E27FC236}">
              <a16:creationId xmlns:a16="http://schemas.microsoft.com/office/drawing/2014/main" id="{555EBC37-050E-4870-AF30-3D99ACF4EC9C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121" name="AutoShape 2" descr="Insert Function">
          <a:extLst>
            <a:ext uri="{FF2B5EF4-FFF2-40B4-BE49-F238E27FC236}">
              <a16:creationId xmlns:a16="http://schemas.microsoft.com/office/drawing/2014/main" id="{C7D83327-65F3-4FA0-BDFC-86F193541249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122" name="AutoShape 2" descr="Insert Function">
          <a:extLst>
            <a:ext uri="{FF2B5EF4-FFF2-40B4-BE49-F238E27FC236}">
              <a16:creationId xmlns:a16="http://schemas.microsoft.com/office/drawing/2014/main" id="{152F793B-D647-4570-BA8A-0A0068CFC783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123" name="AutoShape 2" descr="Insert Function">
          <a:extLst>
            <a:ext uri="{FF2B5EF4-FFF2-40B4-BE49-F238E27FC236}">
              <a16:creationId xmlns:a16="http://schemas.microsoft.com/office/drawing/2014/main" id="{04870305-5290-470C-8E28-D86C4319D24B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124" name="AutoShape 2" descr="Insert Function">
          <a:extLst>
            <a:ext uri="{FF2B5EF4-FFF2-40B4-BE49-F238E27FC236}">
              <a16:creationId xmlns:a16="http://schemas.microsoft.com/office/drawing/2014/main" id="{489AA265-3473-4C6B-AB13-1400474ED9CD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125" name="AutoShape 2" descr="Insert Function">
          <a:extLst>
            <a:ext uri="{FF2B5EF4-FFF2-40B4-BE49-F238E27FC236}">
              <a16:creationId xmlns:a16="http://schemas.microsoft.com/office/drawing/2014/main" id="{BABE0044-143F-436C-857C-85719D042209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126" name="AutoShape 2" descr="Insert Function">
          <a:extLst>
            <a:ext uri="{FF2B5EF4-FFF2-40B4-BE49-F238E27FC236}">
              <a16:creationId xmlns:a16="http://schemas.microsoft.com/office/drawing/2014/main" id="{1A24D0B9-E4F0-4CC6-8082-651F5BE1DC6B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127" name="AutoShape 2" descr="Insert Function">
          <a:extLst>
            <a:ext uri="{FF2B5EF4-FFF2-40B4-BE49-F238E27FC236}">
              <a16:creationId xmlns:a16="http://schemas.microsoft.com/office/drawing/2014/main" id="{36410C2A-16A9-4749-B604-0CED0C8F206B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128" name="AutoShape 2" descr="Insert Function">
          <a:extLst>
            <a:ext uri="{FF2B5EF4-FFF2-40B4-BE49-F238E27FC236}">
              <a16:creationId xmlns:a16="http://schemas.microsoft.com/office/drawing/2014/main" id="{9541902C-E6EF-4FF2-A6C7-D2AF0276D237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129" name="AutoShape 2" descr="Insert Function">
          <a:extLst>
            <a:ext uri="{FF2B5EF4-FFF2-40B4-BE49-F238E27FC236}">
              <a16:creationId xmlns:a16="http://schemas.microsoft.com/office/drawing/2014/main" id="{7CE9A1E4-9580-4BF7-BA7D-BDD3C3A9F01D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130" name="AutoShape 2" descr="Insert Function">
          <a:extLst>
            <a:ext uri="{FF2B5EF4-FFF2-40B4-BE49-F238E27FC236}">
              <a16:creationId xmlns:a16="http://schemas.microsoft.com/office/drawing/2014/main" id="{91CFC37E-B9B9-401D-B3A7-1EE6F873D941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131" name="AutoShape 2" descr="Insert Function">
          <a:extLst>
            <a:ext uri="{FF2B5EF4-FFF2-40B4-BE49-F238E27FC236}">
              <a16:creationId xmlns:a16="http://schemas.microsoft.com/office/drawing/2014/main" id="{C59CFA70-3A33-4B2D-BB24-56366F1F8B36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132" name="AutoShape 2" descr="Insert Function">
          <a:extLst>
            <a:ext uri="{FF2B5EF4-FFF2-40B4-BE49-F238E27FC236}">
              <a16:creationId xmlns:a16="http://schemas.microsoft.com/office/drawing/2014/main" id="{6462DB02-45EF-4E31-9CCB-D5AD47E2703E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133" name="AutoShape 2" descr="Insert Function">
          <a:extLst>
            <a:ext uri="{FF2B5EF4-FFF2-40B4-BE49-F238E27FC236}">
              <a16:creationId xmlns:a16="http://schemas.microsoft.com/office/drawing/2014/main" id="{B26BCDDA-6866-4DAA-8176-F82B3911C800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134" name="AutoShape 2" descr="Insert Function">
          <a:extLst>
            <a:ext uri="{FF2B5EF4-FFF2-40B4-BE49-F238E27FC236}">
              <a16:creationId xmlns:a16="http://schemas.microsoft.com/office/drawing/2014/main" id="{B5634754-5E4D-4AA8-BBCF-1B1BAE15F821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135" name="AutoShape 2" descr="Insert Function">
          <a:extLst>
            <a:ext uri="{FF2B5EF4-FFF2-40B4-BE49-F238E27FC236}">
              <a16:creationId xmlns:a16="http://schemas.microsoft.com/office/drawing/2014/main" id="{786146A2-7853-4ECD-BFE5-6701C3F82D9F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136" name="AutoShape 2" descr="Insert Function">
          <a:extLst>
            <a:ext uri="{FF2B5EF4-FFF2-40B4-BE49-F238E27FC236}">
              <a16:creationId xmlns:a16="http://schemas.microsoft.com/office/drawing/2014/main" id="{91EAF6A7-7544-4B70-B9DF-95B0D14AE151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137" name="AutoShape 2" descr="Insert Function">
          <a:extLst>
            <a:ext uri="{FF2B5EF4-FFF2-40B4-BE49-F238E27FC236}">
              <a16:creationId xmlns:a16="http://schemas.microsoft.com/office/drawing/2014/main" id="{F00FC746-3072-4FE0-B93D-4AC0CA5C39AF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138" name="AutoShape 2" descr="Insert Function">
          <a:extLst>
            <a:ext uri="{FF2B5EF4-FFF2-40B4-BE49-F238E27FC236}">
              <a16:creationId xmlns:a16="http://schemas.microsoft.com/office/drawing/2014/main" id="{A54169A3-16F7-4D54-A9E1-F07E95E4CDA3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139" name="AutoShape 2" descr="Insert Function">
          <a:extLst>
            <a:ext uri="{FF2B5EF4-FFF2-40B4-BE49-F238E27FC236}">
              <a16:creationId xmlns:a16="http://schemas.microsoft.com/office/drawing/2014/main" id="{BE5F12BB-FBC0-4256-BCE6-BA8DB17B6DF4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140" name="AutoShape 2" descr="Insert Function">
          <a:extLst>
            <a:ext uri="{FF2B5EF4-FFF2-40B4-BE49-F238E27FC236}">
              <a16:creationId xmlns:a16="http://schemas.microsoft.com/office/drawing/2014/main" id="{EBC502E6-F847-4B2C-96FD-1A87A624A472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141" name="AutoShape 2" descr="Insert Function">
          <a:extLst>
            <a:ext uri="{FF2B5EF4-FFF2-40B4-BE49-F238E27FC236}">
              <a16:creationId xmlns:a16="http://schemas.microsoft.com/office/drawing/2014/main" id="{D5CB6440-70D1-476C-B685-1A1D23F58789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142" name="AutoShape 2" descr="Insert Function">
          <a:extLst>
            <a:ext uri="{FF2B5EF4-FFF2-40B4-BE49-F238E27FC236}">
              <a16:creationId xmlns:a16="http://schemas.microsoft.com/office/drawing/2014/main" id="{1C671CF7-D94B-4CB2-A013-BCF6208D37AD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143" name="AutoShape 2" descr="Insert Function">
          <a:extLst>
            <a:ext uri="{FF2B5EF4-FFF2-40B4-BE49-F238E27FC236}">
              <a16:creationId xmlns:a16="http://schemas.microsoft.com/office/drawing/2014/main" id="{AA44F7A5-A44D-4D2C-B190-534C2A7E5A8C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144" name="AutoShape 2" descr="Insert Function">
          <a:extLst>
            <a:ext uri="{FF2B5EF4-FFF2-40B4-BE49-F238E27FC236}">
              <a16:creationId xmlns:a16="http://schemas.microsoft.com/office/drawing/2014/main" id="{71FA4BC9-89CD-4DE8-AB13-5D6F4996B8EE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409575"/>
    <xdr:sp macro="" textlink="">
      <xdr:nvSpPr>
        <xdr:cNvPr id="145" name="AutoShape 2" descr="Insert Function">
          <a:extLst>
            <a:ext uri="{FF2B5EF4-FFF2-40B4-BE49-F238E27FC236}">
              <a16:creationId xmlns:a16="http://schemas.microsoft.com/office/drawing/2014/main" id="{1051FDBE-05C6-4A45-ABEB-27C94822FCC4}"/>
            </a:ext>
          </a:extLst>
        </xdr:cNvPr>
        <xdr:cNvSpPr>
          <a:spLocks noChangeAspect="1" noChangeArrowheads="1"/>
        </xdr:cNvSpPr>
      </xdr:nvSpPr>
      <xdr:spPr bwMode="auto">
        <a:xfrm>
          <a:off x="9951720" y="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pasana\HR%20DATA\1.SALARY%20DETAILS\3.SALARY%20DETAILS%2025-26\09.%20Dec'25\LAPANGA\DEC%20SALARY%20SLIP-2025%20NONCOMPLIANCE%20workmen.xlsx" TargetMode="External"/><Relationship Id="rId1" Type="http://schemas.openxmlformats.org/officeDocument/2006/relationships/externalLinkPath" Target="file:///D:\upasana\HR%20DATA\1.SALARY%20DETAILS\3.SALARY%20DETAILS%2025-26\09.%20Dec'25\LAPANGA\DEC%20SALARY%20SLIP-2025%20NONCOMPLIANCE%20workme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BINED SALARY SHEET"/>
      <sheetName val="DEC 2025 NON-COMPLIANCE Workmen"/>
    </sheetNames>
    <sheetDataSet>
      <sheetData sheetId="0">
        <row r="2">
          <cell r="C2" t="str">
            <v>804450</v>
          </cell>
          <cell r="D2" t="str">
            <v>SUSANT KUMAR SWAIN</v>
          </cell>
          <cell r="H2" t="str">
            <v>BANDHAN BANK</v>
          </cell>
          <cell r="I2" t="str">
            <v>52200041331242</v>
          </cell>
          <cell r="J2" t="str">
            <v>BDBL0001747</v>
          </cell>
          <cell r="L2" t="str">
            <v>100734912526</v>
          </cell>
          <cell r="M2">
            <v>4403190372</v>
          </cell>
          <cell r="N2" t="str">
            <v>Mill Right Fitter</v>
          </cell>
          <cell r="Z2">
            <v>26</v>
          </cell>
          <cell r="AB2">
            <v>26</v>
          </cell>
          <cell r="BC2">
            <v>15912</v>
          </cell>
          <cell r="BD2">
            <v>612</v>
          </cell>
          <cell r="BE2">
            <v>0</v>
          </cell>
          <cell r="BG2">
            <v>10254</v>
          </cell>
          <cell r="BH2">
            <v>9844</v>
          </cell>
          <cell r="BI2">
            <v>8203</v>
          </cell>
          <cell r="BJ2">
            <v>5332</v>
          </cell>
          <cell r="BK2">
            <v>7383</v>
          </cell>
          <cell r="BM2">
            <v>1983</v>
          </cell>
          <cell r="BN2">
            <v>124</v>
          </cell>
          <cell r="BO2">
            <v>125</v>
          </cell>
          <cell r="BP2">
            <v>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C1048576"/>
  <sheetViews>
    <sheetView zoomScale="81" zoomScaleNormal="100" workbookViewId="0">
      <selection activeCell="C15" sqref="C15"/>
    </sheetView>
  </sheetViews>
  <sheetFormatPr defaultColWidth="12.5546875" defaultRowHeight="15.75" customHeight="1" x14ac:dyDescent="0.25"/>
  <cols>
    <col min="20" max="20" width="23.88671875" customWidth="1"/>
    <col min="21" max="21" width="21.33203125" customWidth="1"/>
    <col min="22" max="22" width="19" customWidth="1"/>
    <col min="23" max="23" width="16.88671875" customWidth="1"/>
    <col min="24" max="24" width="18.5546875" customWidth="1"/>
    <col min="25" max="25" width="18.44140625" customWidth="1"/>
    <col min="26" max="26" width="32.5546875" customWidth="1"/>
    <col min="27" max="27" width="30.33203125" customWidth="1"/>
    <col min="28" max="28" width="24.44140625" customWidth="1"/>
    <col min="29" max="29" width="20.44140625" customWidth="1"/>
    <col min="30" max="30" width="21.88671875" customWidth="1"/>
    <col min="31" max="32" width="20.109375" customWidth="1"/>
    <col min="33" max="33" width="20.44140625" customWidth="1"/>
    <col min="34" max="34" width="19" customWidth="1"/>
    <col min="41" max="41" width="16.88671875" customWidth="1"/>
    <col min="42" max="42" width="17.44140625" customWidth="1"/>
    <col min="43" max="43" width="15" bestFit="1" customWidth="1"/>
    <col min="44" max="45" width="14.6640625" customWidth="1"/>
    <col min="51" max="51" width="16.44140625" customWidth="1"/>
    <col min="52" max="52" width="17.44140625" customWidth="1"/>
    <col min="53" max="53" width="17.109375" customWidth="1"/>
    <col min="54" max="54" width="22.33203125" customWidth="1"/>
    <col min="55" max="55" width="22" customWidth="1"/>
  </cols>
  <sheetData>
    <row r="1" spans="1:55" ht="13.8" x14ac:dyDescent="0.25">
      <c r="A1" s="1" t="s">
        <v>0</v>
      </c>
      <c r="B1" s="1" t="s">
        <v>36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37</v>
      </c>
      <c r="J1" s="1" t="s">
        <v>16</v>
      </c>
      <c r="K1" s="1" t="s">
        <v>38</v>
      </c>
      <c r="L1" s="1" t="s">
        <v>39</v>
      </c>
      <c r="M1" s="1" t="s">
        <v>7</v>
      </c>
      <c r="N1" s="1" t="s">
        <v>40</v>
      </c>
      <c r="O1" s="1" t="s">
        <v>41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12</v>
      </c>
      <c r="Y1" s="1" t="s">
        <v>13</v>
      </c>
      <c r="Z1" s="1" t="s">
        <v>50</v>
      </c>
      <c r="AA1" s="1" t="s">
        <v>51</v>
      </c>
      <c r="AB1" s="1" t="s">
        <v>52</v>
      </c>
      <c r="AC1" s="1" t="s">
        <v>53</v>
      </c>
      <c r="AD1" s="1" t="s">
        <v>14</v>
      </c>
      <c r="AE1" s="1" t="s">
        <v>15</v>
      </c>
      <c r="AF1" s="1" t="s">
        <v>35</v>
      </c>
      <c r="AG1" s="1" t="s">
        <v>42</v>
      </c>
      <c r="AH1" s="1" t="s">
        <v>43</v>
      </c>
      <c r="AI1" s="1" t="s">
        <v>44</v>
      </c>
      <c r="AJ1" s="1" t="s">
        <v>17</v>
      </c>
      <c r="AK1" s="1" t="s">
        <v>18</v>
      </c>
      <c r="AL1" s="1" t="s">
        <v>19</v>
      </c>
      <c r="AM1" s="1" t="s">
        <v>20</v>
      </c>
      <c r="AN1" s="1" t="s">
        <v>21</v>
      </c>
      <c r="AO1" s="1" t="s">
        <v>22</v>
      </c>
      <c r="AP1" s="1" t="s">
        <v>23</v>
      </c>
      <c r="AQ1" s="1" t="s">
        <v>24</v>
      </c>
      <c r="AR1" s="1" t="s">
        <v>25</v>
      </c>
      <c r="AS1" s="1" t="s">
        <v>26</v>
      </c>
      <c r="AT1" s="1" t="s">
        <v>27</v>
      </c>
      <c r="AU1" s="1" t="s">
        <v>28</v>
      </c>
      <c r="AV1" s="1" t="s">
        <v>29</v>
      </c>
      <c r="AW1" s="1" t="s">
        <v>30</v>
      </c>
      <c r="AX1" s="1" t="s">
        <v>45</v>
      </c>
      <c r="AY1" s="1" t="s">
        <v>31</v>
      </c>
      <c r="AZ1" s="1" t="s">
        <v>32</v>
      </c>
      <c r="BA1" s="1" t="s">
        <v>33</v>
      </c>
      <c r="BB1" s="1" t="s">
        <v>34</v>
      </c>
      <c r="BC1" s="1"/>
    </row>
    <row r="1048576" ht="12.75" customHeight="1" x14ac:dyDescent="0.25"/>
  </sheetData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FF863-09CC-4788-A806-DC278DDC2768}">
  <dimension ref="A1:BP2"/>
  <sheetViews>
    <sheetView tabSelected="1" topLeftCell="D1" workbookViewId="0">
      <selection activeCell="AA11" sqref="AA11"/>
    </sheetView>
  </sheetViews>
  <sheetFormatPr defaultRowHeight="13.2" x14ac:dyDescent="0.25"/>
  <sheetData>
    <row r="1" spans="1:68" s="8" customFormat="1" ht="84" x14ac:dyDescent="0.25">
      <c r="A1" s="2" t="s">
        <v>58</v>
      </c>
      <c r="B1" s="2" t="s">
        <v>59</v>
      </c>
      <c r="C1" s="2" t="s">
        <v>60</v>
      </c>
      <c r="D1" s="2" t="s">
        <v>61</v>
      </c>
      <c r="E1" s="2" t="s">
        <v>62</v>
      </c>
      <c r="F1" s="2" t="s">
        <v>63</v>
      </c>
      <c r="G1" s="2" t="s">
        <v>64</v>
      </c>
      <c r="H1" s="2" t="s">
        <v>65</v>
      </c>
      <c r="I1" s="2" t="s">
        <v>66</v>
      </c>
      <c r="J1" s="2" t="s">
        <v>67</v>
      </c>
      <c r="K1" s="2"/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3" t="s">
        <v>73</v>
      </c>
      <c r="R1" s="3" t="s">
        <v>74</v>
      </c>
      <c r="S1" s="3" t="s">
        <v>75</v>
      </c>
      <c r="T1" s="3" t="s">
        <v>76</v>
      </c>
      <c r="U1" s="3" t="s">
        <v>77</v>
      </c>
      <c r="V1" s="3" t="s">
        <v>78</v>
      </c>
      <c r="W1" s="3" t="s">
        <v>79</v>
      </c>
      <c r="X1" s="3" t="s">
        <v>80</v>
      </c>
      <c r="Y1" s="2" t="s">
        <v>81</v>
      </c>
      <c r="Z1" s="2" t="s">
        <v>82</v>
      </c>
      <c r="AA1" s="2" t="s">
        <v>83</v>
      </c>
      <c r="AB1" s="2" t="s">
        <v>84</v>
      </c>
      <c r="AC1" s="2" t="s">
        <v>85</v>
      </c>
      <c r="AD1" s="2" t="s">
        <v>86</v>
      </c>
      <c r="AE1" s="2" t="s">
        <v>87</v>
      </c>
      <c r="AF1" s="2" t="s">
        <v>88</v>
      </c>
      <c r="AG1" s="4" t="s">
        <v>89</v>
      </c>
      <c r="AH1" s="5" t="s">
        <v>90</v>
      </c>
      <c r="AI1" s="5" t="s">
        <v>91</v>
      </c>
      <c r="AJ1" s="2" t="s">
        <v>92</v>
      </c>
      <c r="AK1" s="2" t="s">
        <v>93</v>
      </c>
      <c r="AL1" s="2" t="s">
        <v>94</v>
      </c>
      <c r="AM1" s="2" t="s">
        <v>95</v>
      </c>
      <c r="AN1" s="6" t="s">
        <v>96</v>
      </c>
      <c r="AO1" s="2" t="s">
        <v>97</v>
      </c>
      <c r="AP1" s="2"/>
      <c r="AQ1" s="2"/>
      <c r="AR1" s="3" t="s">
        <v>98</v>
      </c>
      <c r="AS1" s="3" t="s">
        <v>99</v>
      </c>
      <c r="AT1" s="3" t="s">
        <v>100</v>
      </c>
      <c r="AU1" s="7" t="s">
        <v>101</v>
      </c>
      <c r="AV1" s="3" t="s">
        <v>102</v>
      </c>
      <c r="AW1" s="2"/>
      <c r="AX1" s="2" t="s">
        <v>54</v>
      </c>
      <c r="AY1" s="2" t="s">
        <v>103</v>
      </c>
      <c r="BC1" s="8" t="s">
        <v>104</v>
      </c>
      <c r="BD1" s="8" t="s">
        <v>88</v>
      </c>
      <c r="BE1" s="8" t="s">
        <v>105</v>
      </c>
      <c r="BF1" s="8" t="s">
        <v>106</v>
      </c>
      <c r="BG1" s="9" t="s">
        <v>107</v>
      </c>
      <c r="BH1" s="10" t="s">
        <v>108</v>
      </c>
      <c r="BI1" s="11" t="s">
        <v>109</v>
      </c>
      <c r="BJ1" s="10" t="s">
        <v>110</v>
      </c>
      <c r="BK1" s="10" t="s">
        <v>111</v>
      </c>
      <c r="BL1" s="12" t="s">
        <v>112</v>
      </c>
      <c r="BM1" s="8" t="s">
        <v>92</v>
      </c>
      <c r="BN1" s="8" t="s">
        <v>93</v>
      </c>
      <c r="BO1" s="8" t="s">
        <v>113</v>
      </c>
      <c r="BP1" s="8" t="s">
        <v>99</v>
      </c>
    </row>
    <row r="2" spans="1:68" s="27" customFormat="1" ht="30.6" x14ac:dyDescent="0.25">
      <c r="A2" s="13">
        <v>1</v>
      </c>
      <c r="B2" s="14">
        <v>2</v>
      </c>
      <c r="C2" s="15" t="s">
        <v>55</v>
      </c>
      <c r="D2" s="16" t="s">
        <v>57</v>
      </c>
      <c r="E2" s="17" t="s">
        <v>114</v>
      </c>
      <c r="F2" s="18">
        <v>41995</v>
      </c>
      <c r="G2" s="18">
        <v>29565</v>
      </c>
      <c r="H2" s="17" t="s">
        <v>115</v>
      </c>
      <c r="I2" s="17" t="s">
        <v>116</v>
      </c>
      <c r="J2" s="17" t="s">
        <v>117</v>
      </c>
      <c r="K2" s="17"/>
      <c r="L2" s="19" t="s">
        <v>118</v>
      </c>
      <c r="M2" s="17">
        <v>4403190372</v>
      </c>
      <c r="N2" s="17" t="s">
        <v>119</v>
      </c>
      <c r="O2" s="17" t="s">
        <v>56</v>
      </c>
      <c r="P2" s="17" t="s">
        <v>120</v>
      </c>
      <c r="Q2" s="20">
        <v>57540</v>
      </c>
      <c r="R2" s="13">
        <v>26</v>
      </c>
      <c r="S2" s="13"/>
      <c r="T2" s="13"/>
      <c r="U2" s="21">
        <f>ROUND(Q2/26*(R2+T2),0)</f>
        <v>57540</v>
      </c>
      <c r="V2" s="13"/>
      <c r="W2" s="21">
        <f>ROUND((Q2/Z2/8)*(V2+(S2*8)),0)</f>
        <v>0</v>
      </c>
      <c r="X2" s="21">
        <f>U2+W2</f>
        <v>57540</v>
      </c>
      <c r="Y2" s="22">
        <v>612</v>
      </c>
      <c r="Z2" s="13">
        <v>26</v>
      </c>
      <c r="AA2" s="13">
        <v>17</v>
      </c>
      <c r="AB2" s="13">
        <v>26</v>
      </c>
      <c r="AC2" s="13">
        <v>1</v>
      </c>
      <c r="AD2" s="23">
        <f>Y2*26</f>
        <v>15912</v>
      </c>
      <c r="AE2" s="13">
        <f t="shared" ref="AE2" si="0">Y2*AB2</f>
        <v>15912</v>
      </c>
      <c r="AF2" s="13">
        <f t="shared" ref="AF2" si="1">Y2*AC2</f>
        <v>612</v>
      </c>
      <c r="AG2" s="13">
        <f>AE2+AF2</f>
        <v>16524</v>
      </c>
      <c r="AH2" s="13">
        <f t="shared" ref="AH2" si="2">ROUND((Y2/8)*AA2*2,0)</f>
        <v>2601</v>
      </c>
      <c r="AI2" s="13">
        <f t="shared" ref="AI2" si="3">SUM(AG2:AH2)</f>
        <v>19125</v>
      </c>
      <c r="AJ2" s="24">
        <f>ROUNDUP(AG2*0.12,0)</f>
        <v>1983</v>
      </c>
      <c r="AK2" s="13">
        <f>ROUNDUP(AG2*0.75%,0)</f>
        <v>124</v>
      </c>
      <c r="AL2" s="13">
        <f t="shared" ref="AL2" si="4">IF(AI2&gt;13300,125,0)</f>
        <v>125</v>
      </c>
      <c r="AM2" s="13">
        <f t="shared" ref="AM2" si="5">SUM(AJ2:AL2)</f>
        <v>2232</v>
      </c>
      <c r="AN2" s="13">
        <f t="shared" ref="AN2" si="6">AI2-AM2</f>
        <v>16893</v>
      </c>
      <c r="AO2" s="13"/>
      <c r="AP2" s="13"/>
      <c r="AQ2" s="13"/>
      <c r="AR2" s="25">
        <f t="shared" ref="AR2" si="7">X2-AM2-AN2</f>
        <v>38415</v>
      </c>
      <c r="AS2" s="25"/>
      <c r="AT2" s="25"/>
      <c r="AU2" s="25">
        <f t="shared" ref="AU2" si="8">AR2-AS2+AT2</f>
        <v>38415</v>
      </c>
      <c r="AV2" s="25">
        <f>AN2+AU2</f>
        <v>55308</v>
      </c>
      <c r="AW2" s="26"/>
      <c r="AX2" s="13">
        <f t="shared" ref="AX2" si="9">ROUND((AB2/20)*(AD2/26),0)</f>
        <v>796</v>
      </c>
      <c r="AY2" s="13">
        <f t="shared" ref="AY2" si="10">ROUND(AE2*8.33%,0)</f>
        <v>1325</v>
      </c>
      <c r="BC2" s="28">
        <f>AE2</f>
        <v>15912</v>
      </c>
      <c r="BD2" s="28">
        <f>AF2</f>
        <v>612</v>
      </c>
      <c r="BE2" s="28">
        <f>W2</f>
        <v>0</v>
      </c>
      <c r="BF2" s="28">
        <f>SUM(BC2,BD2,BE2)</f>
        <v>16524</v>
      </c>
      <c r="BG2" s="27">
        <f t="shared" ref="BG2" si="11">ROUND((BL2-BF2)*0.25,0)</f>
        <v>10254</v>
      </c>
      <c r="BH2" s="27">
        <f t="shared" ref="BH2" si="12">ROUND((BL2-BF2)*0.24,0)</f>
        <v>9844</v>
      </c>
      <c r="BI2" s="27">
        <f t="shared" ref="BI2" si="13">ROUND((BL2-BF2)*0.2,0)</f>
        <v>8203</v>
      </c>
      <c r="BJ2" s="27">
        <f t="shared" ref="BJ2" si="14">ROUND((BL2-BF2)*0.13,0)</f>
        <v>5332</v>
      </c>
      <c r="BK2" s="27">
        <f t="shared" ref="BK2" si="15">ROUND((BL2-BF2)*0.18,0)</f>
        <v>7383</v>
      </c>
      <c r="BL2" s="28">
        <f t="shared" ref="BL2" si="16">X2</f>
        <v>57540</v>
      </c>
      <c r="BM2" s="28">
        <f>AJ2</f>
        <v>1983</v>
      </c>
      <c r="BN2" s="28">
        <f>AK2</f>
        <v>124</v>
      </c>
      <c r="BO2" s="28">
        <f>AL2</f>
        <v>125</v>
      </c>
      <c r="BP2" s="28">
        <f>AS2</f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E883D-5DE1-41F3-A9A5-5646BD41AC76}">
  <dimension ref="C8:H30"/>
  <sheetViews>
    <sheetView workbookViewId="0">
      <selection activeCell="J12" sqref="J12"/>
    </sheetView>
  </sheetViews>
  <sheetFormatPr defaultRowHeight="13.2" x14ac:dyDescent="0.25"/>
  <cols>
    <col min="3" max="3" width="24" customWidth="1"/>
    <col min="6" max="6" width="21" customWidth="1"/>
    <col min="7" max="7" width="17.77734375" customWidth="1"/>
    <col min="8" max="8" width="24" customWidth="1"/>
  </cols>
  <sheetData>
    <row r="8" spans="3:8" ht="23.4" x14ac:dyDescent="0.25">
      <c r="C8" s="29" t="s">
        <v>121</v>
      </c>
      <c r="D8" s="29"/>
      <c r="E8" s="29"/>
      <c r="F8" s="29"/>
      <c r="G8" s="29"/>
      <c r="H8" s="29"/>
    </row>
    <row r="9" spans="3:8" x14ac:dyDescent="0.25">
      <c r="C9" s="30" t="s">
        <v>122</v>
      </c>
      <c r="D9" s="31"/>
      <c r="E9" s="31"/>
      <c r="F9" s="31"/>
      <c r="G9" s="31"/>
      <c r="H9" s="32"/>
    </row>
    <row r="10" spans="3:8" x14ac:dyDescent="0.25">
      <c r="C10" s="33" t="s">
        <v>123</v>
      </c>
      <c r="D10" s="34"/>
      <c r="E10" s="34"/>
      <c r="F10" s="34"/>
      <c r="G10" s="34"/>
      <c r="H10" s="35"/>
    </row>
    <row r="11" spans="3:8" ht="14.4" x14ac:dyDescent="0.25">
      <c r="C11" s="36" t="s">
        <v>124</v>
      </c>
      <c r="D11" s="37"/>
      <c r="E11" s="37"/>
      <c r="F11" s="38" t="s">
        <v>125</v>
      </c>
      <c r="G11" s="39"/>
      <c r="H11" s="40"/>
    </row>
    <row r="12" spans="3:8" ht="14.4" x14ac:dyDescent="0.25">
      <c r="C12" s="41" t="s">
        <v>126</v>
      </c>
      <c r="D12" s="42" t="str">
        <f>'[1]COMBINED SALARY SHEET'!$D$2</f>
        <v>SUSANT KUMAR SWAIN</v>
      </c>
      <c r="E12" s="42"/>
      <c r="F12" s="42" t="s">
        <v>127</v>
      </c>
      <c r="G12" s="42"/>
      <c r="H12" s="43">
        <f>'[1]COMBINED SALARY SHEET'!$Z$2</f>
        <v>26</v>
      </c>
    </row>
    <row r="13" spans="3:8" ht="14.4" x14ac:dyDescent="0.25">
      <c r="C13" s="41" t="s">
        <v>128</v>
      </c>
      <c r="D13" s="42" t="str">
        <f>'[1]COMBINED SALARY SHEET'!$C$2</f>
        <v>804450</v>
      </c>
      <c r="E13" s="42"/>
      <c r="F13" s="42" t="s">
        <v>129</v>
      </c>
      <c r="G13" s="42"/>
      <c r="H13" s="43">
        <f>'[1]COMBINED SALARY SHEET'!$AB$2</f>
        <v>26</v>
      </c>
    </row>
    <row r="14" spans="3:8" ht="14.4" x14ac:dyDescent="0.25">
      <c r="C14" s="41" t="s">
        <v>130</v>
      </c>
      <c r="D14" s="42" t="str">
        <f>'[1]COMBINED SALARY SHEET'!$N$2</f>
        <v>Mill Right Fitter</v>
      </c>
      <c r="E14" s="42"/>
      <c r="F14" s="44" t="s">
        <v>131</v>
      </c>
      <c r="G14" s="45"/>
      <c r="H14" s="46"/>
    </row>
    <row r="15" spans="3:8" ht="14.4" x14ac:dyDescent="0.25">
      <c r="C15" s="41" t="s">
        <v>132</v>
      </c>
      <c r="D15" s="47">
        <f>'[1]COMBINED SALARY SHEET'!$K$2</f>
        <v>0</v>
      </c>
      <c r="E15" s="48"/>
      <c r="F15" s="41" t="s">
        <v>133</v>
      </c>
      <c r="G15" s="49" t="str">
        <f>'[1]COMBINED SALARY SHEET'!$H$2</f>
        <v>BANDHAN BANK</v>
      </c>
      <c r="H15" s="50"/>
    </row>
    <row r="16" spans="3:8" ht="14.4" x14ac:dyDescent="0.25">
      <c r="C16" s="41" t="s">
        <v>134</v>
      </c>
      <c r="D16" s="51" t="str">
        <f>'[1]COMBINED SALARY SHEET'!$L$2</f>
        <v>100734912526</v>
      </c>
      <c r="E16" s="42"/>
      <c r="F16" s="41" t="s">
        <v>135</v>
      </c>
      <c r="G16" s="52" t="str">
        <f>'[1]COMBINED SALARY SHEET'!$I$2</f>
        <v>52200041331242</v>
      </c>
      <c r="H16" s="53"/>
    </row>
    <row r="17" spans="3:8" ht="14.4" x14ac:dyDescent="0.25">
      <c r="C17" s="41" t="s">
        <v>136</v>
      </c>
      <c r="D17" s="51">
        <f>'[1]COMBINED SALARY SHEET'!$M$2</f>
        <v>4403190372</v>
      </c>
      <c r="E17" s="42"/>
      <c r="F17" s="41" t="s">
        <v>137</v>
      </c>
      <c r="G17" s="49" t="str">
        <f>'[1]COMBINED SALARY SHEET'!$J$2</f>
        <v>BDBL0001747</v>
      </c>
      <c r="H17" s="50"/>
    </row>
    <row r="18" spans="3:8" ht="14.4" x14ac:dyDescent="0.25">
      <c r="C18" s="37" t="s">
        <v>138</v>
      </c>
      <c r="D18" s="54" t="s">
        <v>139</v>
      </c>
      <c r="E18" s="54"/>
      <c r="F18" s="37" t="s">
        <v>140</v>
      </c>
      <c r="G18" s="55" t="s">
        <v>139</v>
      </c>
      <c r="H18" s="56"/>
    </row>
    <row r="19" spans="3:8" ht="14.4" x14ac:dyDescent="0.25">
      <c r="C19" s="41" t="s">
        <v>141</v>
      </c>
      <c r="D19" s="57">
        <f>'[1]COMBINED SALARY SHEET'!$BC$2</f>
        <v>15912</v>
      </c>
      <c r="E19" s="57"/>
      <c r="F19" s="41" t="s">
        <v>92</v>
      </c>
      <c r="G19" s="57">
        <f>'[1]COMBINED SALARY SHEET'!$BM$2</f>
        <v>1983</v>
      </c>
      <c r="H19" s="57"/>
    </row>
    <row r="20" spans="3:8" ht="14.4" x14ac:dyDescent="0.25">
      <c r="C20" s="41" t="s">
        <v>142</v>
      </c>
      <c r="D20" s="57">
        <f>'[1]COMBINED SALARY SHEET'!$BG$2</f>
        <v>10254</v>
      </c>
      <c r="E20" s="57"/>
      <c r="F20" s="41" t="s">
        <v>93</v>
      </c>
      <c r="G20" s="57">
        <f>'[1]COMBINED SALARY SHEET'!$BN$2</f>
        <v>124</v>
      </c>
      <c r="H20" s="57"/>
    </row>
    <row r="21" spans="3:8" ht="14.4" x14ac:dyDescent="0.25">
      <c r="C21" s="41" t="s">
        <v>143</v>
      </c>
      <c r="D21" s="57">
        <f>'[1]COMBINED SALARY SHEET'!$BH$2</f>
        <v>9844</v>
      </c>
      <c r="E21" s="57"/>
      <c r="F21" s="41" t="s">
        <v>94</v>
      </c>
      <c r="G21" s="57">
        <f>'[1]COMBINED SALARY SHEET'!$BO$2</f>
        <v>125</v>
      </c>
      <c r="H21" s="57"/>
    </row>
    <row r="22" spans="3:8" ht="14.4" x14ac:dyDescent="0.25">
      <c r="C22" s="41" t="s">
        <v>144</v>
      </c>
      <c r="D22" s="57">
        <f>'[1]COMBINED SALARY SHEET'!$BI$2</f>
        <v>8203</v>
      </c>
      <c r="E22" s="57"/>
      <c r="F22" s="41" t="s">
        <v>145</v>
      </c>
      <c r="G22" s="57">
        <f>'[1]COMBINED SALARY SHEET'!$BP$2</f>
        <v>0</v>
      </c>
      <c r="H22" s="57"/>
    </row>
    <row r="23" spans="3:8" ht="14.4" x14ac:dyDescent="0.25">
      <c r="C23" s="41" t="s">
        <v>146</v>
      </c>
      <c r="D23" s="57">
        <f>'[1]COMBINED SALARY SHEET'!$BJ$2</f>
        <v>5332</v>
      </c>
      <c r="E23" s="57"/>
      <c r="F23" s="41" t="s">
        <v>147</v>
      </c>
      <c r="G23" s="57">
        <v>0</v>
      </c>
      <c r="H23" s="57"/>
    </row>
    <row r="24" spans="3:8" ht="14.4" x14ac:dyDescent="0.25">
      <c r="C24" s="41" t="s">
        <v>148</v>
      </c>
      <c r="D24" s="57">
        <f>'[1]COMBINED SALARY SHEET'!$BK$2</f>
        <v>7383</v>
      </c>
      <c r="E24" s="57"/>
      <c r="F24" s="41"/>
      <c r="G24" s="58"/>
      <c r="H24" s="58"/>
    </row>
    <row r="25" spans="3:8" ht="14.4" x14ac:dyDescent="0.25">
      <c r="C25" s="41" t="s">
        <v>149</v>
      </c>
      <c r="D25" s="57">
        <f>'[1]COMBINED SALARY SHEET'!$BE$2</f>
        <v>0</v>
      </c>
      <c r="E25" s="57"/>
      <c r="F25" s="41"/>
      <c r="G25" s="58"/>
      <c r="H25" s="58"/>
    </row>
    <row r="26" spans="3:8" ht="14.4" x14ac:dyDescent="0.25">
      <c r="C26" s="41" t="s">
        <v>150</v>
      </c>
      <c r="D26" s="57">
        <f>'[1]COMBINED SALARY SHEET'!$BD$2</f>
        <v>612</v>
      </c>
      <c r="E26" s="57"/>
      <c r="F26" s="41"/>
      <c r="G26" s="58"/>
      <c r="H26" s="58"/>
    </row>
    <row r="27" spans="3:8" ht="14.4" x14ac:dyDescent="0.25">
      <c r="C27" s="37" t="s">
        <v>151</v>
      </c>
      <c r="D27" s="59">
        <f>SUM(D19:E26)</f>
        <v>57540</v>
      </c>
      <c r="E27" s="59"/>
      <c r="F27" s="37" t="s">
        <v>152</v>
      </c>
      <c r="G27" s="59">
        <f>SUM(G19:H26)</f>
        <v>2232</v>
      </c>
      <c r="H27" s="59"/>
    </row>
    <row r="28" spans="3:8" ht="14.4" x14ac:dyDescent="0.25">
      <c r="C28" s="54" t="s">
        <v>153</v>
      </c>
      <c r="D28" s="54"/>
      <c r="E28" s="54"/>
      <c r="F28" s="60">
        <f>D27-G27</f>
        <v>55308</v>
      </c>
      <c r="G28" s="60"/>
      <c r="H28" s="60"/>
    </row>
    <row r="29" spans="3:8" ht="14.4" x14ac:dyDescent="0.3">
      <c r="C29" s="61"/>
      <c r="D29" s="61"/>
      <c r="E29" s="61"/>
      <c r="F29" s="62" t="s">
        <v>154</v>
      </c>
      <c r="G29" s="63"/>
      <c r="H29" s="64"/>
    </row>
    <row r="30" spans="3:8" ht="14.4" x14ac:dyDescent="0.3">
      <c r="C30" s="65" t="s">
        <v>155</v>
      </c>
      <c r="D30" s="65"/>
      <c r="E30" s="65"/>
      <c r="F30" s="65" t="s">
        <v>156</v>
      </c>
      <c r="G30" s="65"/>
      <c r="H30" s="65"/>
    </row>
  </sheetData>
  <mergeCells count="42">
    <mergeCell ref="C30:E30"/>
    <mergeCell ref="F30:H30"/>
    <mergeCell ref="D27:E27"/>
    <mergeCell ref="G27:H27"/>
    <mergeCell ref="C28:E28"/>
    <mergeCell ref="F28:H28"/>
    <mergeCell ref="C29:E29"/>
    <mergeCell ref="F29:H29"/>
    <mergeCell ref="D24:E24"/>
    <mergeCell ref="G24:H24"/>
    <mergeCell ref="D25:E25"/>
    <mergeCell ref="G25:H25"/>
    <mergeCell ref="D26:E26"/>
    <mergeCell ref="G26:H26"/>
    <mergeCell ref="D21:E21"/>
    <mergeCell ref="G21:H21"/>
    <mergeCell ref="D22:E22"/>
    <mergeCell ref="G22:H22"/>
    <mergeCell ref="D23:E23"/>
    <mergeCell ref="G23:H23"/>
    <mergeCell ref="D18:E18"/>
    <mergeCell ref="G18:H18"/>
    <mergeCell ref="D19:E19"/>
    <mergeCell ref="G19:H19"/>
    <mergeCell ref="D20:E20"/>
    <mergeCell ref="G20:H20"/>
    <mergeCell ref="D15:E15"/>
    <mergeCell ref="G15:H15"/>
    <mergeCell ref="D16:E16"/>
    <mergeCell ref="G16:H16"/>
    <mergeCell ref="D17:E17"/>
    <mergeCell ref="G17:H17"/>
    <mergeCell ref="G11:H11"/>
    <mergeCell ref="D12:E12"/>
    <mergeCell ref="F12:G12"/>
    <mergeCell ref="D13:E13"/>
    <mergeCell ref="F13:G13"/>
    <mergeCell ref="D14:E14"/>
    <mergeCell ref="F14:H14"/>
    <mergeCell ref="C8:H8"/>
    <mergeCell ref="C9:H9"/>
    <mergeCell ref="C10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 format</vt:lpstr>
      <vt:lpstr>Salary comp.</vt:lpstr>
      <vt:lpstr>Salary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SURAJ KUMAR</cp:lastModifiedBy>
  <cp:revision>2</cp:revision>
  <dcterms:modified xsi:type="dcterms:W3CDTF">2026-03-30T13:09:46Z</dcterms:modified>
  <dc:language>en-US</dc:language>
</cp:coreProperties>
</file>